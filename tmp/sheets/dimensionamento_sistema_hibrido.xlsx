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victorzani/Downloads/"/>
    </mc:Choice>
  </mc:AlternateContent>
  <xr:revisionPtr revIDLastSave="0" documentId="13_ncr:1_{E9A57298-6BD0-6848-A17E-88FE753AA282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Premissas" sheetId="1" r:id="rId1"/>
    <sheet name="Financeiro" sheetId="2" r:id="rId2"/>
    <sheet name="C1 — Backup" sheetId="3" r:id="rId3"/>
    <sheet name="C2 — Arbitragem" sheetId="4" r:id="rId4"/>
    <sheet name="C3 — Arbitragem + FV" sheetId="5" r:id="rId5"/>
    <sheet name="Comparativo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7" i="1" l="1"/>
  <c r="B10" i="2"/>
  <c r="B81" i="1"/>
  <c r="B14" i="5" s="1"/>
  <c r="B80" i="1"/>
  <c r="B13" i="5" s="1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O6" i="6"/>
  <c r="O8" i="6" s="1"/>
  <c r="O10" i="6" s="1"/>
  <c r="P6" i="6"/>
  <c r="Q6" i="6"/>
  <c r="R6" i="6"/>
  <c r="S6" i="6"/>
  <c r="T6" i="6"/>
  <c r="U6" i="6"/>
  <c r="V6" i="6"/>
  <c r="W6" i="6"/>
  <c r="W8" i="6" s="1"/>
  <c r="W10" i="6" s="1"/>
  <c r="X6" i="6"/>
  <c r="X8" i="6" s="1"/>
  <c r="X10" i="6" s="1"/>
  <c r="Y6" i="6"/>
  <c r="Y8" i="6" s="1"/>
  <c r="Y10" i="6" s="1"/>
  <c r="Z6" i="6"/>
  <c r="AA6" i="6"/>
  <c r="O7" i="6"/>
  <c r="P7" i="6"/>
  <c r="Q7" i="6"/>
  <c r="R7" i="6"/>
  <c r="S7" i="6"/>
  <c r="T7" i="6"/>
  <c r="T8" i="6" s="1"/>
  <c r="T10" i="6" s="1"/>
  <c r="U7" i="6"/>
  <c r="V7" i="6"/>
  <c r="W7" i="6"/>
  <c r="X7" i="6"/>
  <c r="Y7" i="6"/>
  <c r="Z7" i="6"/>
  <c r="AA7" i="6"/>
  <c r="P8" i="6"/>
  <c r="P10" i="6" s="1"/>
  <c r="Q8" i="6"/>
  <c r="Q10" i="6" s="1"/>
  <c r="R8" i="6"/>
  <c r="R10" i="6" s="1"/>
  <c r="S8" i="6"/>
  <c r="S10" i="6" s="1"/>
  <c r="Z8" i="6"/>
  <c r="Z10" i="6" s="1"/>
  <c r="AA8" i="6"/>
  <c r="AA9" i="6"/>
  <c r="AA10" i="6"/>
  <c r="AA11" i="6"/>
  <c r="O15" i="6"/>
  <c r="P15" i="6"/>
  <c r="Q15" i="6"/>
  <c r="R15" i="6"/>
  <c r="R17" i="6" s="1"/>
  <c r="R19" i="6" s="1"/>
  <c r="S15" i="6"/>
  <c r="S17" i="6" s="1"/>
  <c r="S19" i="6" s="1"/>
  <c r="T15" i="6"/>
  <c r="T17" i="6" s="1"/>
  <c r="T19" i="6" s="1"/>
  <c r="U15" i="6"/>
  <c r="V15" i="6"/>
  <c r="W15" i="6"/>
  <c r="X15" i="6"/>
  <c r="Y15" i="6"/>
  <c r="Z15" i="6"/>
  <c r="AA15" i="6"/>
  <c r="O16" i="6"/>
  <c r="P16" i="6"/>
  <c r="Q16" i="6"/>
  <c r="R16" i="6"/>
  <c r="S16" i="6"/>
  <c r="T16" i="6"/>
  <c r="U16" i="6"/>
  <c r="V16" i="6"/>
  <c r="V17" i="6" s="1"/>
  <c r="V19" i="6" s="1"/>
  <c r="W16" i="6"/>
  <c r="X16" i="6"/>
  <c r="Y16" i="6"/>
  <c r="Z16" i="6"/>
  <c r="AA16" i="6"/>
  <c r="U17" i="6"/>
  <c r="U19" i="6" s="1"/>
  <c r="AA17" i="6"/>
  <c r="AA18" i="6"/>
  <c r="AA19" i="6"/>
  <c r="AA20" i="6"/>
  <c r="C31" i="6"/>
  <c r="B31" i="6"/>
  <c r="B79" i="1"/>
  <c r="C81" i="1"/>
  <c r="A81" i="1"/>
  <c r="A80" i="1"/>
  <c r="B17" i="5"/>
  <c r="B15" i="5"/>
  <c r="B12" i="5"/>
  <c r="B11" i="5"/>
  <c r="B11" i="4"/>
  <c r="B10" i="4"/>
  <c r="B9" i="4"/>
  <c r="B8" i="4"/>
  <c r="B7" i="4"/>
  <c r="B16" i="5"/>
  <c r="B5" i="5"/>
  <c r="B6" i="4"/>
  <c r="B18" i="2"/>
  <c r="B88" i="1"/>
  <c r="B6" i="5" s="1"/>
  <c r="B53" i="1"/>
  <c r="B46" i="1"/>
  <c r="B33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Q17" i="6" l="1"/>
  <c r="Q19" i="6" s="1"/>
  <c r="P17" i="6"/>
  <c r="P19" i="6" s="1"/>
  <c r="Z17" i="6"/>
  <c r="Z19" i="6" s="1"/>
  <c r="Y17" i="6"/>
  <c r="Y19" i="6" s="1"/>
  <c r="O17" i="6"/>
  <c r="O19" i="6" s="1"/>
  <c r="V8" i="6"/>
  <c r="V10" i="6" s="1"/>
  <c r="X17" i="6"/>
  <c r="X19" i="6" s="1"/>
  <c r="W17" i="6"/>
  <c r="W19" i="6" s="1"/>
  <c r="U8" i="6"/>
  <c r="U10" i="6" s="1"/>
  <c r="B90" i="1"/>
  <c r="B7" i="5" s="1"/>
  <c r="B21" i="5" s="1"/>
  <c r="B17" i="1"/>
  <c r="B25" i="1" s="1"/>
  <c r="B55" i="1" s="1"/>
  <c r="B18" i="1"/>
  <c r="B91" i="1" l="1"/>
  <c r="B42" i="1"/>
  <c r="B43" i="1" s="1"/>
  <c r="B44" i="1" s="1"/>
  <c r="B5" i="3"/>
  <c r="B26" i="1"/>
  <c r="B56" i="1" s="1"/>
  <c r="B45" i="1" l="1"/>
  <c r="B47" i="1" s="1"/>
  <c r="B49" i="1" s="1"/>
  <c r="B54" i="1"/>
  <c r="B57" i="1" s="1"/>
  <c r="B48" i="1"/>
  <c r="B7" i="3" s="1"/>
  <c r="B50" i="1" l="1"/>
  <c r="B9" i="2"/>
  <c r="B11" i="2"/>
  <c r="B20" i="2" s="1"/>
  <c r="B92" i="1" l="1"/>
  <c r="B10" i="5"/>
  <c r="B22" i="5" s="1"/>
  <c r="B6" i="3"/>
  <c r="B8" i="3"/>
  <c r="B5" i="4"/>
  <c r="B14" i="4" s="1"/>
  <c r="B16" i="4" s="1"/>
  <c r="B23" i="5"/>
  <c r="C7" i="6"/>
  <c r="M16" i="6"/>
  <c r="D16" i="6"/>
  <c r="K7" i="6"/>
  <c r="B32" i="4"/>
  <c r="B11" i="6"/>
  <c r="M7" i="6"/>
  <c r="B10" i="6"/>
  <c r="B19" i="6"/>
  <c r="F7" i="6"/>
  <c r="N7" i="6"/>
  <c r="H16" i="6"/>
  <c r="B37" i="5"/>
  <c r="K16" i="6"/>
  <c r="G16" i="6"/>
  <c r="B8" i="6"/>
  <c r="B25" i="6"/>
  <c r="E16" i="6"/>
  <c r="B11" i="3"/>
  <c r="L16" i="6"/>
  <c r="C25" i="6"/>
  <c r="J7" i="6"/>
  <c r="B20" i="6"/>
  <c r="B9" i="6"/>
  <c r="C16" i="6"/>
  <c r="B17" i="6"/>
  <c r="I7" i="6"/>
  <c r="B14" i="6"/>
  <c r="J16" i="6"/>
  <c r="B5" i="6"/>
  <c r="L7" i="6"/>
  <c r="E7" i="6"/>
  <c r="F16" i="6"/>
  <c r="D7" i="6"/>
  <c r="H7" i="6"/>
  <c r="B18" i="6"/>
  <c r="I16" i="6"/>
  <c r="N16" i="6"/>
  <c r="G7" i="6"/>
  <c r="B8" i="5" l="1"/>
  <c r="B94" i="1"/>
  <c r="B9" i="5" s="1"/>
  <c r="B24" i="5" s="1"/>
  <c r="B17" i="4"/>
  <c r="B21" i="4" s="1"/>
  <c r="B20" i="4"/>
  <c r="B22" i="4" s="1"/>
  <c r="B30" i="4" s="1"/>
  <c r="B31" i="4" s="1"/>
  <c r="C6" i="6" s="1"/>
  <c r="C8" i="6" s="1"/>
  <c r="B93" i="1"/>
  <c r="H6" i="6"/>
  <c r="H8" i="6" s="1"/>
  <c r="H10" i="6" s="1"/>
  <c r="I6" i="6"/>
  <c r="I8" i="6" s="1"/>
  <c r="I10" i="6" s="1"/>
  <c r="J6" i="6"/>
  <c r="J8" i="6" s="1"/>
  <c r="J10" i="6" s="1"/>
  <c r="L6" i="6"/>
  <c r="L8" i="6" s="1"/>
  <c r="L10" i="6" s="1"/>
  <c r="N6" i="6"/>
  <c r="N8" i="6" s="1"/>
  <c r="N10" i="6" s="1"/>
  <c r="B27" i="6"/>
  <c r="E6" i="6"/>
  <c r="E8" i="6" s="1"/>
  <c r="E10" i="6" s="1"/>
  <c r="B26" i="6"/>
  <c r="F6" i="6"/>
  <c r="F8" i="6" s="1"/>
  <c r="F10" i="6" s="1"/>
  <c r="B33" i="4"/>
  <c r="B95" i="1" l="1"/>
  <c r="B28" i="5"/>
  <c r="G6" i="6"/>
  <c r="G8" i="6" s="1"/>
  <c r="G10" i="6" s="1"/>
  <c r="K6" i="6"/>
  <c r="K8" i="6" s="1"/>
  <c r="K10" i="6" s="1"/>
  <c r="D6" i="6"/>
  <c r="D8" i="6" s="1"/>
  <c r="D10" i="6" s="1"/>
  <c r="M6" i="6"/>
  <c r="M8" i="6" s="1"/>
  <c r="M10" i="6" s="1"/>
  <c r="B25" i="5"/>
  <c r="B27" i="5"/>
  <c r="B26" i="5"/>
  <c r="C10" i="6"/>
  <c r="C11" i="6" s="1"/>
  <c r="D11" i="6" s="1"/>
  <c r="E11" i="6" s="1"/>
  <c r="F11" i="6" s="1"/>
  <c r="G11" i="6" s="1"/>
  <c r="H11" i="6" s="1"/>
  <c r="I11" i="6" s="1"/>
  <c r="J11" i="6" s="1"/>
  <c r="K11" i="6" s="1"/>
  <c r="L11" i="6" s="1"/>
  <c r="M11" i="6" s="1"/>
  <c r="N11" i="6" s="1"/>
  <c r="O11" i="6" s="1"/>
  <c r="P11" i="6" s="1"/>
  <c r="Q11" i="6" s="1"/>
  <c r="R11" i="6" s="1"/>
  <c r="S11" i="6" s="1"/>
  <c r="T11" i="6" s="1"/>
  <c r="U11" i="6" s="1"/>
  <c r="V11" i="6" s="1"/>
  <c r="W11" i="6" s="1"/>
  <c r="X11" i="6" s="1"/>
  <c r="Y11" i="6" s="1"/>
  <c r="Z11" i="6" s="1"/>
  <c r="C9" i="6"/>
  <c r="D9" i="6" l="1"/>
  <c r="E9" i="6" s="1"/>
  <c r="F9" i="6" s="1"/>
  <c r="G9" i="6" s="1"/>
  <c r="H9" i="6" s="1"/>
  <c r="I9" i="6" s="1"/>
  <c r="J9" i="6" s="1"/>
  <c r="K9" i="6" s="1"/>
  <c r="L9" i="6" s="1"/>
  <c r="M9" i="6" s="1"/>
  <c r="N9" i="6" s="1"/>
  <c r="O9" i="6" s="1"/>
  <c r="P9" i="6" s="1"/>
  <c r="Q9" i="6" s="1"/>
  <c r="R9" i="6" s="1"/>
  <c r="S9" i="6" s="1"/>
  <c r="T9" i="6" s="1"/>
  <c r="U9" i="6" s="1"/>
  <c r="V9" i="6" s="1"/>
  <c r="W9" i="6" s="1"/>
  <c r="X9" i="6" s="1"/>
  <c r="Y9" i="6" s="1"/>
  <c r="Z9" i="6" s="1"/>
  <c r="B29" i="5"/>
  <c r="B30" i="5" s="1"/>
  <c r="B96" i="1"/>
  <c r="B29" i="6"/>
  <c r="B28" i="6"/>
  <c r="G15" i="6"/>
  <c r="G17" i="6" s="1"/>
  <c r="G19" i="6" s="1"/>
  <c r="D15" i="6"/>
  <c r="D17" i="6" s="1"/>
  <c r="D19" i="6" s="1"/>
  <c r="B32" i="5"/>
  <c r="B35" i="5" s="1"/>
  <c r="B36" i="5" s="1"/>
  <c r="B38" i="5" s="1"/>
  <c r="L15" i="6"/>
  <c r="L17" i="6" s="1"/>
  <c r="L19" i="6" s="1"/>
  <c r="M15" i="6"/>
  <c r="M17" i="6" s="1"/>
  <c r="M19" i="6" s="1"/>
  <c r="E15" i="6"/>
  <c r="E17" i="6" s="1"/>
  <c r="E19" i="6" s="1"/>
  <c r="H15" i="6"/>
  <c r="H17" i="6" s="1"/>
  <c r="H19" i="6" s="1"/>
  <c r="K15" i="6"/>
  <c r="K17" i="6" s="1"/>
  <c r="K19" i="6" s="1"/>
  <c r="N15" i="6"/>
  <c r="N17" i="6" s="1"/>
  <c r="N19" i="6" s="1"/>
  <c r="F15" i="6"/>
  <c r="F17" i="6" s="1"/>
  <c r="F19" i="6" s="1"/>
  <c r="I15" i="6"/>
  <c r="I17" i="6" s="1"/>
  <c r="I19" i="6" s="1"/>
  <c r="J15" i="6"/>
  <c r="J17" i="6" s="1"/>
  <c r="J19" i="6" s="1"/>
  <c r="C15" i="6"/>
  <c r="B30" i="6"/>
  <c r="C26" i="6" l="1"/>
  <c r="C27" i="6" s="1"/>
  <c r="C17" i="6"/>
  <c r="C18" i="6" l="1"/>
  <c r="D18" i="6" s="1"/>
  <c r="E18" i="6" s="1"/>
  <c r="F18" i="6" s="1"/>
  <c r="G18" i="6" s="1"/>
  <c r="H18" i="6" s="1"/>
  <c r="I18" i="6" s="1"/>
  <c r="J18" i="6" s="1"/>
  <c r="K18" i="6" s="1"/>
  <c r="L18" i="6" s="1"/>
  <c r="M18" i="6" s="1"/>
  <c r="N18" i="6" s="1"/>
  <c r="C19" i="6"/>
  <c r="C20" i="6" s="1"/>
  <c r="D20" i="6" s="1"/>
  <c r="E20" i="6" s="1"/>
  <c r="F20" i="6" s="1"/>
  <c r="G20" i="6" s="1"/>
  <c r="H20" i="6" s="1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C28" i="6"/>
  <c r="C29" i="6"/>
  <c r="O18" i="6" l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C30" i="6" s="1"/>
</calcChain>
</file>

<file path=xl/sharedStrings.xml><?xml version="1.0" encoding="utf-8"?>
<sst xmlns="http://schemas.openxmlformats.org/spreadsheetml/2006/main" count="398" uniqueCount="255">
  <si>
    <t>DIMENSIONAMENTO — SISTEMA HÍBRIDO GRUPO B</t>
  </si>
  <si>
    <t xml:space="preserve">  ● Azul = entrada do usuário    ● Preto = fórmula    ● Verde = referência de outra aba    ● Amarelo = flag/premissa chave</t>
  </si>
  <si>
    <t>BLOCO 1 — DIMENSIONAMENTO DO INVERSOR</t>
  </si>
  <si>
    <t>Equipamento</t>
  </si>
  <si>
    <t>Pot. Unit. (W)</t>
  </si>
  <si>
    <t>Qtd</t>
  </si>
  <si>
    <t>Tipo de Carga</t>
  </si>
  <si>
    <t>Fator Partida</t>
  </si>
  <si>
    <t>Pot. Contínua (W)</t>
  </si>
  <si>
    <t>Pico (W)</t>
  </si>
  <si>
    <t>Iluminação LED</t>
  </si>
  <si>
    <t>Resistiva</t>
  </si>
  <si>
    <t>Geladeira</t>
  </si>
  <si>
    <t>Indutiva</t>
  </si>
  <si>
    <t>Ar-condicionado 9.000 BTU</t>
  </si>
  <si>
    <t>TV + Eletrônicos</t>
  </si>
  <si>
    <t>Eletrônica</t>
  </si>
  <si>
    <t>Bomba d'água</t>
  </si>
  <si>
    <t>Potência Contínua Total das Cargas (W)</t>
  </si>
  <si>
    <t>W</t>
  </si>
  <si>
    <t>Pico de Partida Total (W)</t>
  </si>
  <si>
    <t>Soma de potência × fator de partida de todos os equipamentos</t>
  </si>
  <si>
    <t>Eficiência do Inversor (%)</t>
  </si>
  <si>
    <t>%</t>
  </si>
  <si>
    <t>Margem de Segurança (%)</t>
  </si>
  <si>
    <t>Recomendado: mínimo 20%</t>
  </si>
  <si>
    <t>Faixa DC Mínima do Inversor (V)</t>
  </si>
  <si>
    <t>V</t>
  </si>
  <si>
    <t>Verificar datasheet do inversor</t>
  </si>
  <si>
    <t>Faixa DC Máxima do Inversor (V)</t>
  </si>
  <si>
    <t>➤ POTÊNCIA CONTÍNUA MÍNIMA DO INVERSOR (W)</t>
  </si>
  <si>
    <t>Pot.contínua ÷ eficiência × (1 + margem)</t>
  </si>
  <si>
    <t>➤ POTÊNCIA DE PICO MÍNIMA DO INVERSOR (W)</t>
  </si>
  <si>
    <t>Pico de partida ÷ eficiência × (1 + margem)</t>
  </si>
  <si>
    <t>BLOCO 2 — DIMENSIONAMENTO DAS BATERIAS</t>
  </si>
  <si>
    <t>Especificações da Bateria Unitária</t>
  </si>
  <si>
    <t>Tensão Nominal do Banco de Baterias (V)</t>
  </si>
  <si>
    <t>Deve estar dentro da faixa DC do inversor</t>
  </si>
  <si>
    <t>Tensão Nominal da Bateria Unitária (V)</t>
  </si>
  <si>
    <t>Capacidade da Bateria Unitária (Ah)</t>
  </si>
  <si>
    <t>Ah</t>
  </si>
  <si>
    <t>Capacidade da Bateria Unitária (kWh)</t>
  </si>
  <si>
    <t>kWh</t>
  </si>
  <si>
    <t>Calculado automaticamente</t>
  </si>
  <si>
    <t>Corrente Máxima de Descarga — Bateria Unit. (A)</t>
  </si>
  <si>
    <t>A</t>
  </si>
  <si>
    <t>Parâmetros de Operação</t>
  </si>
  <si>
    <t>DoD — Profundidade de Descarga (%)</t>
  </si>
  <si>
    <t>LFP: até 80-90% · Chumbo-ácido: até 50%</t>
  </si>
  <si>
    <t>Eficiência Round-Trip (%)</t>
  </si>
  <si>
    <t>Autonomia Desejada (horas)</t>
  </si>
  <si>
    <t>h</t>
  </si>
  <si>
    <t>Definir com o cliente</t>
  </si>
  <si>
    <t>Cálculo do Banco</t>
  </si>
  <si>
    <t>Potência das Cargas Essenciais (W)</t>
  </si>
  <si>
    <t>Referência do Bloco 1</t>
  </si>
  <si>
    <t>Energia Necessária por Ciclo (kWh)</t>
  </si>
  <si>
    <t>Potência × Autonomia</t>
  </si>
  <si>
    <t>Capacidade Nominal Necessária (kWh)</t>
  </si>
  <si>
    <t>Considerando DoD, eficiência e temperatura</t>
  </si>
  <si>
    <t>Capacidade Necessária em Ah (na tensão do banco)</t>
  </si>
  <si>
    <t>Número de Baterias em Série</t>
  </si>
  <si>
    <t>un.</t>
  </si>
  <si>
    <t>Para compor a tensão do banco</t>
  </si>
  <si>
    <t>Número de Baterias em Paralelo</t>
  </si>
  <si>
    <t>Para compor a capacidade em Ah</t>
  </si>
  <si>
    <t>NÚMERO TOTAL DE BATERIAS</t>
  </si>
  <si>
    <t>Capacidade Utilizável do Banco (kWh)</t>
  </si>
  <si>
    <t>Energia disponível por ciclo de descarga</t>
  </si>
  <si>
    <t>Validações</t>
  </si>
  <si>
    <t>Validação — Tensão DC do Banco vs Inversor</t>
  </si>
  <si>
    <t>Corrente Máxima do Banco (A)</t>
  </si>
  <si>
    <t>Corrente Demandada pelo Inversor — Nominal (A)</t>
  </si>
  <si>
    <t>Corrente Demandada pelo Inversor — Pico (A)</t>
  </si>
  <si>
    <t>Validação — Corrente do Banco vs Inversor</t>
  </si>
  <si>
    <t>BLOCO 3 — SISTEMA FOTOVOLTAICO (OPCIONAL)</t>
  </si>
  <si>
    <t>Sistema Fotovoltaico Ativo?</t>
  </si>
  <si>
    <t>Sim</t>
  </si>
  <si>
    <t>Sim = habilita campos e cálculos de FV</t>
  </si>
  <si>
    <t>Geração Estimada (kWh/kWp/mês)</t>
  </si>
  <si>
    <t>kWh/kWp/mês</t>
  </si>
  <si>
    <t>Valor médio Brasil: 100-140. Ajustar por região e projeto.</t>
  </si>
  <si>
    <t>Potência Instalada Real (kWp)</t>
  </si>
  <si>
    <t>kWp</t>
  </si>
  <si>
    <t>Definir após simulação ou proposta comercial</t>
  </si>
  <si>
    <t>Potência Ideal Sugerida (kWp)</t>
  </si>
  <si>
    <t>Geração Total Estimada (kWh/mês)</t>
  </si>
  <si>
    <t>kWh/mês</t>
  </si>
  <si>
    <t>Fator de Simultaneidade (%)</t>
  </si>
  <si>
    <t>% da geração consumida diretamente sem passar pela rede</t>
  </si>
  <si>
    <t>Energia com Simultaneidade — Autoconsumo Direto (kWh/mês)</t>
  </si>
  <si>
    <t>Não paga Fio B nem ICMS</t>
  </si>
  <si>
    <t>Energia FV Excedente → Injetada na Rede (kWh/mês)</t>
  </si>
  <si>
    <t>Paga Fio B e ICMS quando compensada</t>
  </si>
  <si>
    <t>BLOCO 4 — TARIFAS E CONSUMO (GRUPO B)</t>
  </si>
  <si>
    <t>Modalidade Tarifária</t>
  </si>
  <si>
    <t>Branca</t>
  </si>
  <si>
    <t>Tarifa Convencional (preencher se modalidade = Convencional)</t>
  </si>
  <si>
    <t>Tarifa Convencional (R$/kWh)</t>
  </si>
  <si>
    <t>R$/kWh</t>
  </si>
  <si>
    <t>Consumo Mensal Total — Convencional (kWh)</t>
  </si>
  <si>
    <t>Tarifa Branca (preencher se modalidade = Branca)</t>
  </si>
  <si>
    <t>Tarifa na Ponta (R$/kWh)</t>
  </si>
  <si>
    <t>Tarifa Fora Ponta (R$/kWh)</t>
  </si>
  <si>
    <t>Horas de Ponta por Dia (h)</t>
  </si>
  <si>
    <t>h/dia</t>
  </si>
  <si>
    <t>Consumo na Ponta (kWh/mês)</t>
  </si>
  <si>
    <t>Consumo Fora Ponta (kWh/mês)</t>
  </si>
  <si>
    <t>Tributos e Encargos</t>
  </si>
  <si>
    <t>ICMS (%)</t>
  </si>
  <si>
    <t>Fio B (R$/kWh)</t>
  </si>
  <si>
    <t>Valores Calculados</t>
  </si>
  <si>
    <t>Consumo Mensal Total (kWh)</t>
  </si>
  <si>
    <t>Tarifa Compensável Ponta (R$/kWh)</t>
  </si>
  <si>
    <t>Tarifa Compensável Fora Ponta (R$/kWh)</t>
  </si>
  <si>
    <t>FINANCEIRO — CAPEX E PREMISSAS FINANCEIRAS</t>
  </si>
  <si>
    <t>CAPEX DO SISTEMA</t>
  </si>
  <si>
    <t>Modo de entrada do CAPEX</t>
  </si>
  <si>
    <t>Simplificado</t>
  </si>
  <si>
    <t>Simplificado: R$/kWp | Detalhado: itemizado</t>
  </si>
  <si>
    <t>CAPEX Simplificado (R$)</t>
  </si>
  <si>
    <t>R$</t>
  </si>
  <si>
    <t>Modo Detalhado (itemizado)</t>
  </si>
  <si>
    <t>Preço do Inversor Híbrido (R$)</t>
  </si>
  <si>
    <t>Preço das Baterias — Total (R$)</t>
  </si>
  <si>
    <t>Nº de baterias × preço unitário</t>
  </si>
  <si>
    <t>Instalação e Mão de Obra (R$)</t>
  </si>
  <si>
    <t>Outros (estrutura, cabeamento, proteções) (R$)</t>
  </si>
  <si>
    <t>CAPEX Detalhado (R$)</t>
  </si>
  <si>
    <t>➤ CAPEX TOTAL (R$)</t>
  </si>
  <si>
    <t>PREMISSAS FINANCEIRAS</t>
  </si>
  <si>
    <t>Horizonte de Análise (anos)</t>
  </si>
  <si>
    <t>anos</t>
  </si>
  <si>
    <t>Taxa de Reajuste Tarifário Anual (%)</t>
  </si>
  <si>
    <t>Histórico ANEEL: 5-10% a.a.</t>
  </si>
  <si>
    <t>Taxa Mínima de Atratividade — TMA (%)</t>
  </si>
  <si>
    <t>Custo de capital do investidor</t>
  </si>
  <si>
    <t>O&amp;M Anual (% do CAPEX)</t>
  </si>
  <si>
    <t>Manutenção, seguros, monitoramento</t>
  </si>
  <si>
    <t>Degradação Anual da Bateria (%)</t>
  </si>
  <si>
    <t>Redução de capacidade por ano</t>
  </si>
  <si>
    <t>Custo de Reposição da Bateria (R$)</t>
  </si>
  <si>
    <t>Aplicado no ano 13 no horizonte de 25 anos</t>
  </si>
  <si>
    <t>Ano da Reposição da Bateria</t>
  </si>
  <si>
    <t>ano</t>
  </si>
  <si>
    <t>Vida útil típica LFP: 10-15 anos</t>
  </si>
  <si>
    <t>Inflação Anual (%)</t>
  </si>
  <si>
    <t>Para atualizar O&amp;M e custos operacionais</t>
  </si>
  <si>
    <t>CENÁRIO 1 — BACKUP PURO</t>
  </si>
  <si>
    <t>ESPECIFICAÇÕES DO SISTEMA</t>
  </si>
  <si>
    <t>Número Total de Baterias</t>
  </si>
  <si>
    <t>Autonomia Real (horas)</t>
  </si>
  <si>
    <t>Capacidade utilizável ÷ potência das cargas</t>
  </si>
  <si>
    <t>CAPEX Total (R$)</t>
  </si>
  <si>
    <t>OBSERVAÇÃO</t>
  </si>
  <si>
    <t>O Cenário 1 é backup puro — não gera economia na conta de energia. O valor para o cliente é a continuidade de fornecimento durante quedas de rede. O payback é qualitativo (depende de quanto o cliente valoriza a continuidade).</t>
  </si>
  <si>
    <t>CENÁRIO 2 — ARBITRAGEM TARIFÁRIA (SEM FV) — TARIFA BRANCA</t>
  </si>
  <si>
    <t>DADOS DO SISTEMA (Premissas)</t>
  </si>
  <si>
    <t>CÁLCULO DE ENERGIA DESLOCADA</t>
  </si>
  <si>
    <t>Energia Disponível por Ciclo (kWh) — descarga</t>
  </si>
  <si>
    <t>Energia que o banco fornece por ciclo completo</t>
  </si>
  <si>
    <t>Dias Úteis no Mês com Ponta</t>
  </si>
  <si>
    <t>dias</t>
  </si>
  <si>
    <t>Número de dias com horário de ponta no mês</t>
  </si>
  <si>
    <t>Energia Deslocada por Mês (kWh)</t>
  </si>
  <si>
    <t>Limitado ao consumo real na ponta</t>
  </si>
  <si>
    <t>Energia para Recarga do Banco (kWh) — fora ponta</t>
  </si>
  <si>
    <t>Energia consumida da rede no FP para carregar</t>
  </si>
  <si>
    <t>CÁLCULO DE ECONOMIA</t>
  </si>
  <si>
    <t>Economia Bruta — Evitar Ponta (R$)</t>
  </si>
  <si>
    <t>R$/mês</t>
  </si>
  <si>
    <t>Deixa de consumir kWh da ponta</t>
  </si>
  <si>
    <t>Custo da Recarga — Fora Ponta (R$)</t>
  </si>
  <si>
    <t>Paga para carregar o banco no fora ponta</t>
  </si>
  <si>
    <t>Economia Líquida de Arbitragem (R$)</t>
  </si>
  <si>
    <t>Nota: Fio B e ICMS na Arbitragem</t>
  </si>
  <si>
    <t>Na arbitragem, quando a bateria descarga e o cliente deixa de consumir da rede na ponta, ele economiza a tarifa ponta COMPLETA (incluindo Fio B e ICMS). Quando recarrega no fora ponta, paga a tarifa fora ponta completa. O cálculo acima já captura corretamente essa diferença sem necessidade de ajuste adicional.</t>
  </si>
  <si>
    <t>ANÁLISE ECONÔMICA (referência — Comparativo tem análise completa)</t>
  </si>
  <si>
    <t>Economia Líquida Mensal (R$)</t>
  </si>
  <si>
    <t>Economia Líquida Anual — Ano 1 (R$)</t>
  </si>
  <si>
    <t>R$/ano</t>
  </si>
  <si>
    <t>Payback Simples (anos)</t>
  </si>
  <si>
    <t>CENÁRIO 3 — ARBITRAGEM + FV — TARIFA BRANCA</t>
  </si>
  <si>
    <t>FV Ativo?</t>
  </si>
  <si>
    <t>Geração Total FV (kWh/mês)</t>
  </si>
  <si>
    <t>Autoconsumo Direto (kWh/mês)</t>
  </si>
  <si>
    <t>Simultaneidade — não passa pela rede</t>
  </si>
  <si>
    <t>Energia FV → Bateria (kWh/mês)</t>
  </si>
  <si>
    <t>Energia FV Injetada na Rede (kWh/mês)</t>
  </si>
  <si>
    <t>Tarifa Ponta (R$/kWh)</t>
  </si>
  <si>
    <t>TE compensável, sem Fio B e sem ICMS</t>
  </si>
  <si>
    <t>Dias Úteis no Mês</t>
  </si>
  <si>
    <t>Economia — Autoconsumo Direto FV (R$)</t>
  </si>
  <si>
    <t>kWh consumidos diretamente × tarifa fora ponta (evitado)</t>
  </si>
  <si>
    <t>Economia — FV via Bateria na Ponta (R$)</t>
  </si>
  <si>
    <t>Evita consumo da ponta — tarifa ponta completa economizada</t>
  </si>
  <si>
    <t>Economia Bruta — Compensação FV (R$)</t>
  </si>
  <si>
    <t>Custo Fio B sobre Energia Compensada (R$)</t>
  </si>
  <si>
    <t>Fio B não é compensado — pago sobre kWh compensados</t>
  </si>
  <si>
    <t>Custo ICMS sobre Energia Compensada (R$)</t>
  </si>
  <si>
    <t>ICMS não é compensado — pago sobre kWh compensados</t>
  </si>
  <si>
    <t>Economia Líquida — Compensação FV (R$)</t>
  </si>
  <si>
    <t>Tarifa compensável × kWh injetados</t>
  </si>
  <si>
    <t>Custo da Recarga Complementar da Rede (R$)</t>
  </si>
  <si>
    <t>Economia — Arbitragem Complementar (R$)</t>
  </si>
  <si>
    <t>ECONOMIA LÍQUIDA TOTAL (R$/mês)</t>
  </si>
  <si>
    <t>COMPARATIVO DE CENÁRIOS — FLUXO DE CAIXA E ANÁLISE FINANCEIRA</t>
  </si>
  <si>
    <t>Ano 0</t>
  </si>
  <si>
    <t>CAPEX Inicial (R$)</t>
  </si>
  <si>
    <t>O&amp;M Anual (R$)</t>
  </si>
  <si>
    <t>Fluxo Líquido (R$)</t>
  </si>
  <si>
    <t>CENÁRIO 2 — ARBITRAGEM TARIFÁRIA (SEM FV)</t>
  </si>
  <si>
    <t>Economia Anual (R$)</t>
  </si>
  <si>
    <t>Fluxo Acumulado (R$)</t>
  </si>
  <si>
    <t>Fluxo Descontado (R$)</t>
  </si>
  <si>
    <t>Fluxo Descontado Acumulado (R$)</t>
  </si>
  <si>
    <t>CENÁRIO 3 — ARBITRAGEM + FV</t>
  </si>
  <si>
    <t>RESUMO DOS INDICADORES FINANCEIROS</t>
  </si>
  <si>
    <t>Indicador</t>
  </si>
  <si>
    <t>C2 — Arbitragem</t>
  </si>
  <si>
    <t>C3 — Arbitragem + FV</t>
  </si>
  <si>
    <t>Economia Líquida — Ano 1 (R$)</t>
  </si>
  <si>
    <t>VPL (R$)</t>
  </si>
  <si>
    <t>TIR (% a.a.)</t>
  </si>
  <si>
    <t>kW</t>
  </si>
  <si>
    <t>12 anos: ciclo padrão | 24 anos: inclui reposição de bateria</t>
  </si>
  <si>
    <t>Economia Acumulada (R$)</t>
  </si>
  <si>
    <t>Eficiência (%)</t>
  </si>
  <si>
    <t>Round-trip LFP: 90-95%. Inclui perdas ôhmicas, eletroquímicas, BMS e térmicas.</t>
  </si>
  <si>
    <t>TC = Tarifa_cheia - (FioB/(1-ICMS) × %FioB) — Lei 14.300</t>
  </si>
  <si>
    <t>Custo por kWh de Armazenamento (R$/kWh)</t>
  </si>
  <si>
    <t>Inclui baterias, inversor, instalação e outros</t>
  </si>
  <si>
    <t>Modo Simplificado (R$/kWh de armazenamento)</t>
  </si>
  <si>
    <t>Potência FV Instalada (kWp)</t>
  </si>
  <si>
    <t>Apenas informativo — não entra no cálculo simplificado</t>
  </si>
  <si>
    <t>Capacidade Nominal Real Instalada (kWh)</t>
  </si>
  <si>
    <t>Nº baterias em paralelo × capacidade unitária</t>
  </si>
  <si>
    <t>Capacidade Real Instalada (kWh)</t>
  </si>
  <si>
    <t>Energia Restante após Autoconsumo (kWh/mês)</t>
  </si>
  <si>
    <t>Disponível para bateria e/ou rede</t>
  </si>
  <si>
    <t>FV carrega a bateria (limitado pela capacidade)</t>
  </si>
  <si>
    <t>Energia Rede → Bateria (kWh/mês)</t>
  </si>
  <si>
    <t>Rede completa a bateria no fora ponta quando FV não basta</t>
  </si>
  <si>
    <t>Energia da Rede → Bateria (kWh/mês)</t>
  </si>
  <si>
    <t>Rede completa a bateria no FP quando FV não basta</t>
  </si>
  <si>
    <t>Energia Bateria Descarregada na Ponta (kWh)</t>
  </si>
  <si>
    <t>Bateria sempre descarrega na ponta — limitado ao consumo</t>
  </si>
  <si>
    <t>Economia: desloca ponta menos custo de recarga FP</t>
  </si>
  <si>
    <t>24</t>
  </si>
  <si>
    <t>Recarga da Bateria via Rede — Bruta (kWh/mês)</t>
  </si>
  <si>
    <t>Energia consumida da rede no FP para carregar (inclui perda de eficiência)</t>
  </si>
  <si>
    <t>Consumo Fora Ponta Ajustado (kWh/mês)</t>
  </si>
  <si>
    <t>Consumo FP original + recarga da bateria pela rede</t>
  </si>
  <si>
    <t>Recarga bruta (com perda de eficiência) × tarifa FP</t>
  </si>
  <si>
    <t>Branca: (Consumo FP + Bateria×30) ÷ kWh/kWp | Conv.: Consumo Total ÷ kWh/kWp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</si>
</sst>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"/>
    <numFmt numFmtId="166" formatCode="#,##0.0"/>
    <numFmt numFmtId="167" formatCode="&quot;R$&quot;#,##0.000"/>
    <numFmt numFmtId="168" formatCode="&quot;R$&quot;#,##0"/>
    <numFmt numFmtId="169" formatCode="&quot;R$&quot;#,##0.00"/>
  </numFmts>
  <fonts count="30" x14ac:knownFonts="1">
    <font>
      <sz val="11"/>
      <color theme="1"/>
      <name val="Calibri"/>
      <family val="2"/>
      <charset val="1"/>
    </font>
    <font>
      <b/>
      <sz val="13"/>
      <color rgb="FFFFFFFF"/>
      <name val="Calibri"/>
      <family val="2"/>
    </font>
    <font>
      <sz val="9"/>
      <color rgb="FF333333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333333"/>
      <name val="Calibri"/>
      <family val="2"/>
    </font>
    <font>
      <b/>
      <sz val="10"/>
      <color rgb="FF0000FF"/>
      <name val="Calibri"/>
      <family val="2"/>
    </font>
    <font>
      <b/>
      <sz val="10"/>
      <color rgb="FF000000"/>
      <name val="Calibri"/>
      <family val="2"/>
    </font>
    <font>
      <b/>
      <sz val="10"/>
      <color rgb="FF333333"/>
      <name val="Calibri"/>
      <family val="2"/>
    </font>
    <font>
      <i/>
      <sz val="9"/>
      <color rgb="FF333333"/>
      <name val="Calibri"/>
      <family val="2"/>
    </font>
    <font>
      <i/>
      <sz val="9"/>
      <color rgb="FF888888"/>
      <name val="Calibri"/>
      <family val="2"/>
    </font>
    <font>
      <i/>
      <sz val="9"/>
      <color rgb="FFFFFFFF"/>
      <name val="Calibri"/>
      <family val="2"/>
    </font>
    <font>
      <b/>
      <sz val="10"/>
      <color rgb="FF7B2000"/>
      <name val="Calibri"/>
      <family val="2"/>
    </font>
    <font>
      <b/>
      <sz val="10"/>
      <color rgb="FFCC7A00"/>
      <name val="Calibri"/>
      <family val="2"/>
    </font>
    <font>
      <b/>
      <sz val="12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0"/>
      <color rgb="FF7B2000"/>
      <name val="Calibri"/>
      <family val="2"/>
    </font>
    <font>
      <b/>
      <sz val="10"/>
      <color rgb="FF333333"/>
      <name val="Calibri"/>
      <family val="2"/>
    </font>
    <font>
      <sz val="10"/>
      <color rgb="FF333333"/>
      <name val="Calibri"/>
      <family val="2"/>
    </font>
    <font>
      <i/>
      <sz val="9"/>
      <color rgb="FF333333"/>
      <name val="Calibri"/>
      <family val="2"/>
    </font>
    <font>
      <b/>
      <sz val="10"/>
      <color rgb="FF0000FF"/>
      <name val="Calibri"/>
      <family val="2"/>
    </font>
    <font>
      <b/>
      <sz val="10"/>
      <color rgb="FFCC7A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color rgb="FFFFFFFF"/>
      <name val="Calibri"/>
      <family val="2"/>
    </font>
    <font>
      <b/>
      <sz val="9"/>
      <color rgb="FF2E4057"/>
      <name val="Calibri"/>
      <family val="2"/>
      <charset val="1"/>
    </font>
    <font>
      <b/>
      <sz val="10"/>
      <color rgb="FF008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C8431A"/>
        <bgColor rgb="FF993366"/>
      </patternFill>
    </fill>
    <fill>
      <patternFill patternType="solid">
        <fgColor rgb="FF2E4057"/>
        <bgColor rgb="FF333333"/>
      </patternFill>
    </fill>
    <fill>
      <patternFill patternType="solid">
        <fgColor rgb="FFEFF3FF"/>
        <bgColor rgb="FFEBF5EB"/>
      </patternFill>
    </fill>
    <fill>
      <patternFill patternType="solid">
        <fgColor rgb="FFEBF5EB"/>
        <bgColor rgb="FFEFF3FF"/>
      </patternFill>
    </fill>
    <fill>
      <patternFill patternType="solid">
        <fgColor rgb="FFEDB89A"/>
        <bgColor rgb="FFCCCCCC"/>
      </patternFill>
    </fill>
    <fill>
      <patternFill patternType="solid">
        <fgColor rgb="FFFFF2CC"/>
        <bgColor rgb="FFEBF5EB"/>
      </patternFill>
    </fill>
    <fill>
      <patternFill patternType="solid">
        <fgColor rgb="FFFFFFFF"/>
        <bgColor indexed="64"/>
      </patternFill>
    </fill>
    <fill>
      <patternFill patternType="solid">
        <fgColor rgb="FFC8431A"/>
        <bgColor indexed="64"/>
      </patternFill>
    </fill>
    <fill>
      <patternFill patternType="solid">
        <fgColor rgb="FFEDB89A"/>
        <bgColor indexed="64"/>
      </patternFill>
    </fill>
    <fill>
      <patternFill patternType="solid">
        <fgColor rgb="FFEFF3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5EB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0F4FF"/>
        <bgColor rgb="FFEBF5EB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right" vertical="center"/>
    </xf>
    <xf numFmtId="0" fontId="0" fillId="4" borderId="1" xfId="0" applyFill="1" applyBorder="1"/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165" fontId="6" fillId="4" borderId="1" xfId="0" applyNumberFormat="1" applyFont="1" applyFill="1" applyBorder="1" applyAlignment="1">
      <alignment horizontal="right" vertical="center"/>
    </xf>
    <xf numFmtId="9" fontId="6" fillId="4" borderId="1" xfId="0" applyNumberFormat="1" applyFont="1" applyFill="1" applyBorder="1" applyAlignment="1">
      <alignment horizontal="right" vertical="center"/>
    </xf>
    <xf numFmtId="1" fontId="6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2" fontId="7" fillId="5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3" fontId="13" fillId="7" borderId="1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right" vertical="center"/>
    </xf>
    <xf numFmtId="49" fontId="7" fillId="5" borderId="1" xfId="0" applyNumberFormat="1" applyFont="1" applyFill="1" applyBorder="1" applyAlignment="1">
      <alignment horizontal="right" vertical="center"/>
    </xf>
    <xf numFmtId="49" fontId="13" fillId="7" borderId="1" xfId="0" applyNumberFormat="1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right" vertical="center"/>
    </xf>
    <xf numFmtId="168" fontId="6" fillId="4" borderId="1" xfId="0" applyNumberFormat="1" applyFont="1" applyFill="1" applyBorder="1" applyAlignment="1">
      <alignment horizontal="right" vertical="center"/>
    </xf>
    <xf numFmtId="2" fontId="13" fillId="7" borderId="1" xfId="0" applyNumberFormat="1" applyFont="1" applyFill="1" applyBorder="1" applyAlignment="1">
      <alignment horizontal="center" vertical="center"/>
    </xf>
    <xf numFmtId="168" fontId="7" fillId="5" borderId="1" xfId="0" applyNumberFormat="1" applyFont="1" applyFill="1" applyBorder="1" applyAlignment="1">
      <alignment horizontal="right" vertical="center"/>
    </xf>
    <xf numFmtId="168" fontId="14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/>
    <xf numFmtId="1" fontId="13" fillId="7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right" vertical="center"/>
    </xf>
    <xf numFmtId="168" fontId="13" fillId="7" borderId="1" xfId="0" applyNumberFormat="1" applyFont="1" applyFill="1" applyBorder="1" applyAlignment="1">
      <alignment horizontal="center" vertical="center"/>
    </xf>
    <xf numFmtId="9" fontId="13" fillId="7" borderId="1" xfId="0" applyNumberFormat="1" applyFont="1" applyFill="1" applyBorder="1" applyAlignment="1">
      <alignment horizontal="center" vertical="center"/>
    </xf>
    <xf numFmtId="167" fontId="13" fillId="7" borderId="1" xfId="0" applyNumberFormat="1" applyFont="1" applyFill="1" applyBorder="1" applyAlignment="1">
      <alignment horizontal="center" vertical="center"/>
    </xf>
    <xf numFmtId="165" fontId="13" fillId="7" borderId="1" xfId="0" applyNumberFormat="1" applyFont="1" applyFill="1" applyBorder="1" applyAlignment="1">
      <alignment horizontal="center" vertical="center"/>
    </xf>
    <xf numFmtId="169" fontId="7" fillId="5" borderId="1" xfId="0" applyNumberFormat="1" applyFont="1" applyFill="1" applyBorder="1" applyAlignment="1">
      <alignment horizontal="right" vertical="center"/>
    </xf>
    <xf numFmtId="166" fontId="13" fillId="7" borderId="1" xfId="0" applyNumberFormat="1" applyFont="1" applyFill="1" applyBorder="1" applyAlignment="1">
      <alignment horizontal="center" vertical="center"/>
    </xf>
    <xf numFmtId="168" fontId="7" fillId="0" borderId="1" xfId="0" applyNumberFormat="1" applyFont="1" applyBorder="1" applyAlignment="1">
      <alignment horizontal="right" vertical="center"/>
    </xf>
    <xf numFmtId="168" fontId="15" fillId="0" borderId="1" xfId="0" applyNumberFormat="1" applyFont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0" fontId="20" fillId="8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left" vertical="center"/>
    </xf>
    <xf numFmtId="167" fontId="22" fillId="11" borderId="1" xfId="0" applyNumberFormat="1" applyFont="1" applyFill="1" applyBorder="1" applyAlignment="1">
      <alignment horizontal="right" vertical="center"/>
    </xf>
    <xf numFmtId="3" fontId="22" fillId="11" borderId="1" xfId="0" applyNumberFormat="1" applyFont="1" applyFill="1" applyBorder="1" applyAlignment="1">
      <alignment horizontal="right" vertical="center"/>
    </xf>
    <xf numFmtId="164" fontId="22" fillId="11" borderId="1" xfId="0" applyNumberFormat="1" applyFont="1" applyFill="1" applyBorder="1" applyAlignment="1">
      <alignment horizontal="right" vertical="center"/>
    </xf>
    <xf numFmtId="2" fontId="22" fillId="11" borderId="1" xfId="0" applyNumberFormat="1" applyFont="1" applyFill="1" applyBorder="1" applyAlignment="1">
      <alignment horizontal="right" vertical="center"/>
    </xf>
    <xf numFmtId="9" fontId="22" fillId="11" borderId="1" xfId="0" applyNumberFormat="1" applyFont="1" applyFill="1" applyBorder="1" applyAlignment="1">
      <alignment horizontal="right" vertical="center"/>
    </xf>
    <xf numFmtId="3" fontId="24" fillId="13" borderId="1" xfId="0" applyNumberFormat="1" applyFont="1" applyFill="1" applyBorder="1" applyAlignment="1">
      <alignment horizontal="right" vertical="center"/>
    </xf>
    <xf numFmtId="167" fontId="24" fillId="13" borderId="1" xfId="0" applyNumberFormat="1" applyFont="1" applyFill="1" applyBorder="1" applyAlignment="1">
      <alignment horizontal="right" vertical="center"/>
    </xf>
    <xf numFmtId="166" fontId="24" fillId="13" borderId="1" xfId="0" applyNumberFormat="1" applyFont="1" applyFill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0" fontId="20" fillId="8" borderId="5" xfId="0" applyFont="1" applyFill="1" applyBorder="1" applyAlignment="1">
      <alignment horizontal="left" vertical="center" wrapText="1"/>
    </xf>
    <xf numFmtId="0" fontId="21" fillId="8" borderId="5" xfId="0" applyFont="1" applyFill="1" applyBorder="1" applyAlignment="1">
      <alignment horizontal="left" vertical="center"/>
    </xf>
    <xf numFmtId="0" fontId="19" fillId="8" borderId="5" xfId="0" applyFont="1" applyFill="1" applyBorder="1" applyAlignment="1">
      <alignment horizontal="left" vertical="center" wrapText="1"/>
    </xf>
    <xf numFmtId="49" fontId="23" fillId="12" borderId="5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49" fontId="7" fillId="5" borderId="5" xfId="0" applyNumberFormat="1" applyFont="1" applyFill="1" applyBorder="1" applyAlignment="1">
      <alignment horizontal="right" vertical="center"/>
    </xf>
    <xf numFmtId="0" fontId="9" fillId="0" borderId="5" xfId="0" applyFont="1" applyBorder="1" applyAlignment="1">
      <alignment horizontal="left" vertical="center"/>
    </xf>
    <xf numFmtId="0" fontId="16" fillId="8" borderId="6" xfId="0" applyFont="1" applyFill="1" applyBorder="1"/>
    <xf numFmtId="0" fontId="16" fillId="8" borderId="7" xfId="0" applyFont="1" applyFill="1" applyBorder="1"/>
    <xf numFmtId="3" fontId="22" fillId="11" borderId="5" xfId="0" applyNumberFormat="1" applyFont="1" applyFill="1" applyBorder="1" applyAlignment="1">
      <alignment horizontal="right" vertical="center"/>
    </xf>
    <xf numFmtId="0" fontId="25" fillId="14" borderId="0" xfId="0" applyFont="1" applyFill="1" applyAlignment="1">
      <alignment horizontal="center"/>
    </xf>
    <xf numFmtId="0" fontId="27" fillId="14" borderId="5" xfId="0" applyFont="1" applyFill="1" applyBorder="1" applyAlignment="1">
      <alignment horizontal="center" vertical="center"/>
    </xf>
    <xf numFmtId="168" fontId="26" fillId="8" borderId="8" xfId="0" applyNumberFormat="1" applyFont="1" applyFill="1" applyBorder="1" applyAlignment="1">
      <alignment horizontal="right"/>
    </xf>
    <xf numFmtId="168" fontId="24" fillId="8" borderId="8" xfId="0" applyNumberFormat="1" applyFont="1" applyFill="1" applyBorder="1" applyAlignment="1">
      <alignment horizontal="right" vertical="center"/>
    </xf>
    <xf numFmtId="164" fontId="26" fillId="8" borderId="8" xfId="0" applyNumberFormat="1" applyFont="1" applyFill="1" applyBorder="1" applyAlignment="1">
      <alignment horizontal="right"/>
    </xf>
    <xf numFmtId="164" fontId="24" fillId="8" borderId="8" xfId="0" applyNumberFormat="1" applyFont="1" applyFill="1" applyBorder="1" applyAlignment="1">
      <alignment horizontal="right" vertical="center"/>
    </xf>
    <xf numFmtId="165" fontId="26" fillId="8" borderId="8" xfId="0" applyNumberFormat="1" applyFont="1" applyFill="1" applyBorder="1" applyAlignment="1">
      <alignment horizontal="right"/>
    </xf>
    <xf numFmtId="165" fontId="24" fillId="8" borderId="8" xfId="0" applyNumberFormat="1" applyFont="1" applyFill="1" applyBorder="1" applyAlignment="1">
      <alignment horizontal="right" vertical="center"/>
    </xf>
    <xf numFmtId="1" fontId="26" fillId="8" borderId="8" xfId="0" applyNumberFormat="1" applyFont="1" applyFill="1" applyBorder="1" applyAlignment="1">
      <alignment horizontal="right"/>
    </xf>
    <xf numFmtId="1" fontId="24" fillId="8" borderId="8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20" fillId="8" borderId="8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center"/>
    </xf>
    <xf numFmtId="0" fontId="5" fillId="15" borderId="1" xfId="0" applyFont="1" applyFill="1" applyBorder="1" applyAlignment="1">
      <alignment horizontal="left" vertical="center"/>
    </xf>
    <xf numFmtId="0" fontId="0" fillId="16" borderId="1" xfId="0" applyFill="1" applyBorder="1"/>
    <xf numFmtId="0" fontId="17" fillId="9" borderId="3" xfId="0" applyFont="1" applyFill="1" applyBorder="1" applyAlignment="1">
      <alignment horizontal="left" vertical="center"/>
    </xf>
    <xf numFmtId="0" fontId="18" fillId="10" borderId="3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69" fontId="22" fillId="11" borderId="1" xfId="0" applyNumberFormat="1" applyFont="1" applyFill="1" applyBorder="1" applyAlignment="1">
      <alignment horizontal="right" vertical="center"/>
    </xf>
    <xf numFmtId="0" fontId="10" fillId="0" borderId="0" xfId="0" applyFont="1"/>
    <xf numFmtId="169" fontId="22" fillId="11" borderId="5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 wrapText="1"/>
    </xf>
    <xf numFmtId="2" fontId="29" fillId="13" borderId="1" xfId="0" applyNumberFormat="1" applyFont="1" applyFill="1" applyBorder="1" applyAlignment="1">
      <alignment horizontal="right" vertical="center"/>
    </xf>
    <xf numFmtId="2" fontId="7" fillId="13" borderId="0" xfId="0" applyNumberFormat="1" applyFont="1" applyFill="1" applyBorder="1" applyAlignment="1">
      <alignment horizontal="right" vertical="center"/>
    </xf>
    <xf numFmtId="168" fontId="7" fillId="13" borderId="0" xfId="0" applyNumberFormat="1" applyFont="1" applyFill="1" applyBorder="1" applyAlignment="1">
      <alignment horizontal="right" vertical="center"/>
    </xf>
    <xf numFmtId="2" fontId="7" fillId="13" borderId="1" xfId="0" applyNumberFormat="1" applyFont="1" applyFill="1" applyBorder="1" applyAlignment="1">
      <alignment horizontal="right" vertical="center"/>
    </xf>
    <xf numFmtId="169" fontId="13" fillId="7" borderId="1" xfId="0" applyNumberFormat="1" applyFont="1" applyFill="1" applyBorder="1" applyAlignment="1">
      <alignment horizontal="center" vertical="center"/>
    </xf>
    <xf numFmtId="0" fontId="20" fillId="8" borderId="0" xfId="0" applyFont="1" applyFill="1" applyBorder="1" applyAlignment="1">
      <alignment horizontal="left" vertical="center" wrapText="1"/>
    </xf>
    <xf numFmtId="0" fontId="21" fillId="8" borderId="0" xfId="0" applyFont="1" applyFill="1" applyBorder="1" applyAlignment="1">
      <alignment horizontal="left" vertical="center"/>
    </xf>
  </cellXfs>
  <cellStyles count="1">
    <cellStyle name="Normal" xfId="0" builtinId="0"/>
  </cellStyles>
  <dxfs count="6">
    <dxf>
      <font>
        <color rgb="FFBBBBBB"/>
      </font>
      <fill>
        <patternFill patternType="solid">
          <fgColor indexed="64"/>
          <bgColor rgb="FFF0F0F0"/>
        </patternFill>
      </fill>
    </dxf>
    <dxf>
      <font>
        <color rgb="FFBBBBBB"/>
      </font>
      <fill>
        <patternFill patternType="solid">
          <fgColor indexed="64"/>
          <bgColor rgb="FFF0F0F0"/>
        </patternFill>
      </fill>
    </dxf>
    <dxf>
      <font>
        <color rgb="FFBBBBBB"/>
      </font>
      <fill>
        <patternFill patternType="solid">
          <fgColor indexed="64"/>
          <bgColor rgb="FFF0F0F0"/>
        </patternFill>
      </fill>
    </dxf>
    <dxf>
      <font>
        <color rgb="FFBBBBBB"/>
      </font>
      <fill>
        <patternFill patternType="solid">
          <fgColor indexed="64"/>
          <bgColor rgb="FFF0F0F0"/>
        </patternFill>
      </fill>
    </dxf>
    <dxf>
      <font>
        <color rgb="FFBBBBBB"/>
      </font>
      <fill>
        <patternFill patternType="solid">
          <fgColor indexed="64"/>
          <bgColor rgb="FFF0F0F0"/>
        </patternFill>
      </fill>
    </dxf>
    <dxf>
      <font>
        <color rgb="FFBBBBBB"/>
      </font>
      <fill>
        <patternFill patternType="solid">
          <fgColor indexed="64"/>
          <bgColor rgb="FFF0F0F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C8431A"/>
      <rgbColor rgb="FFFFF2CC"/>
      <rgbColor rgb="FFEBF5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3FF"/>
      <rgbColor rgb="FFCCFFCC"/>
      <rgbColor rgb="FFFFFF99"/>
      <rgbColor rgb="FF99CCFF"/>
      <rgbColor rgb="FFFF99CC"/>
      <rgbColor rgb="FFCC99FF"/>
      <rgbColor rgb="FFEDB89A"/>
      <rgbColor rgb="FF3366FF"/>
      <rgbColor rgb="FF33CCCC"/>
      <rgbColor rgb="FF99CC00"/>
      <rgbColor rgb="FFFFCC00"/>
      <rgbColor rgb="FFFF9900"/>
      <rgbColor rgb="FFCC7A00"/>
      <rgbColor rgb="FF666699"/>
      <rgbColor rgb="FF969696"/>
      <rgbColor rgb="FF003366"/>
      <rgbColor rgb="FF339966"/>
      <rgbColor rgb="FF003300"/>
      <rgbColor rgb="FF333300"/>
      <rgbColor rgb="FF7B2000"/>
      <rgbColor rgb="FF993366"/>
      <rgbColor rgb="FF2E405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0F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C5684D-6220-774A-8A78-04BB115A2F1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b366084-bda0-4e74-b7e0-dab44bda662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zoomScale="159" zoomScaleNormal="100" workbookViewId="0">
      <pane ySplit="5" topLeftCell="A6" activePane="bottomLeft" state="frozen"/>
      <selection pane="bottomLeft" activeCell="B87" sqref="B87"/>
    </sheetView>
  </sheetViews>
  <sheetFormatPr baseColWidth="10" defaultColWidth="8.6640625" defaultRowHeight="15" outlineLevelRow="1" x14ac:dyDescent="0.2"/>
  <cols>
    <col min="1" max="1" width="38" customWidth="1"/>
    <col min="2" max="2" width="26.83203125" bestFit="1" customWidth="1"/>
    <col min="3" max="3" width="14" customWidth="1"/>
    <col min="4" max="4" width="44.1640625" bestFit="1" customWidth="1"/>
    <col min="5" max="5" width="14" customWidth="1"/>
    <col min="6" max="6" width="13.5" bestFit="1" customWidth="1"/>
    <col min="7" max="7" width="6.83203125" bestFit="1" customWidth="1"/>
  </cols>
  <sheetData>
    <row r="1" spans="1:7" ht="27.75" customHeight="1" x14ac:dyDescent="0.2">
      <c r="A1" s="84" t="s">
        <v>0</v>
      </c>
      <c r="B1" s="84"/>
      <c r="C1" s="84"/>
      <c r="D1" s="84"/>
      <c r="E1" s="84"/>
    </row>
    <row r="2" spans="1:7" ht="15.75" customHeight="1" x14ac:dyDescent="0.2">
      <c r="A2" s="85" t="s">
        <v>1</v>
      </c>
      <c r="B2" s="85"/>
      <c r="C2" s="85"/>
      <c r="D2" s="85"/>
      <c r="E2" s="85"/>
    </row>
    <row r="3" spans="1:7" ht="6" customHeight="1" x14ac:dyDescent="0.2"/>
    <row r="4" spans="1:7" ht="21.75" customHeight="1" x14ac:dyDescent="0.2">
      <c r="A4" s="83" t="s">
        <v>2</v>
      </c>
      <c r="B4" s="83"/>
      <c r="C4" s="83"/>
      <c r="D4" s="83"/>
      <c r="E4" s="83"/>
    </row>
    <row r="5" spans="1:7" ht="19.5" customHeight="1" x14ac:dyDescent="0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ht="18" customHeight="1" x14ac:dyDescent="0.2">
      <c r="A6" s="76" t="s">
        <v>10</v>
      </c>
      <c r="B6" s="4">
        <v>300</v>
      </c>
      <c r="C6" s="5">
        <v>5</v>
      </c>
      <c r="D6" s="5" t="s">
        <v>11</v>
      </c>
      <c r="E6" s="6">
        <v>1</v>
      </c>
      <c r="F6" s="7">
        <f t="shared" ref="F6:F15" si="0">IFERROR(B6*C6,0)</f>
        <v>1500</v>
      </c>
      <c r="G6" s="7">
        <f t="shared" ref="G6:G15" si="1">IFERROR(B6*C6*E6,0)</f>
        <v>1500</v>
      </c>
    </row>
    <row r="7" spans="1:7" ht="18" customHeight="1" x14ac:dyDescent="0.2">
      <c r="A7" s="76" t="s">
        <v>12</v>
      </c>
      <c r="B7" s="4">
        <v>300</v>
      </c>
      <c r="C7" s="5">
        <v>1</v>
      </c>
      <c r="D7" s="5" t="s">
        <v>13</v>
      </c>
      <c r="E7" s="6">
        <v>2</v>
      </c>
      <c r="F7" s="7">
        <f t="shared" si="0"/>
        <v>300</v>
      </c>
      <c r="G7" s="7">
        <f t="shared" si="1"/>
        <v>600</v>
      </c>
    </row>
    <row r="8" spans="1:7" ht="18" customHeight="1" x14ac:dyDescent="0.2">
      <c r="A8" s="76" t="s">
        <v>14</v>
      </c>
      <c r="B8" s="4">
        <v>300</v>
      </c>
      <c r="C8" s="5">
        <v>1</v>
      </c>
      <c r="D8" s="5" t="s">
        <v>13</v>
      </c>
      <c r="E8" s="6">
        <v>1</v>
      </c>
      <c r="F8" s="7">
        <f t="shared" si="0"/>
        <v>300</v>
      </c>
      <c r="G8" s="7">
        <f t="shared" si="1"/>
        <v>300</v>
      </c>
    </row>
    <row r="9" spans="1:7" ht="18" customHeight="1" x14ac:dyDescent="0.2">
      <c r="A9" s="76" t="s">
        <v>15</v>
      </c>
      <c r="B9" s="4">
        <v>300</v>
      </c>
      <c r="C9" s="5">
        <v>1</v>
      </c>
      <c r="D9" s="5" t="s">
        <v>16</v>
      </c>
      <c r="E9" s="6">
        <v>1</v>
      </c>
      <c r="F9" s="7">
        <f t="shared" si="0"/>
        <v>300</v>
      </c>
      <c r="G9" s="7">
        <f t="shared" si="1"/>
        <v>300</v>
      </c>
    </row>
    <row r="10" spans="1:7" ht="18" customHeight="1" x14ac:dyDescent="0.2">
      <c r="A10" s="76" t="s">
        <v>17</v>
      </c>
      <c r="B10" s="4">
        <v>300</v>
      </c>
      <c r="C10" s="5">
        <v>1</v>
      </c>
      <c r="D10" s="5" t="s">
        <v>13</v>
      </c>
      <c r="E10" s="6">
        <v>2</v>
      </c>
      <c r="F10" s="7">
        <f t="shared" si="0"/>
        <v>300</v>
      </c>
      <c r="G10" s="7">
        <f t="shared" si="1"/>
        <v>600</v>
      </c>
    </row>
    <row r="11" spans="1:7" ht="18" customHeight="1" x14ac:dyDescent="0.2">
      <c r="A11" s="77"/>
      <c r="B11" s="8"/>
      <c r="C11" s="8"/>
      <c r="D11" s="8"/>
      <c r="E11" s="6">
        <v>1</v>
      </c>
      <c r="F11" s="7">
        <f t="shared" si="0"/>
        <v>0</v>
      </c>
      <c r="G11" s="7">
        <f t="shared" si="1"/>
        <v>0</v>
      </c>
    </row>
    <row r="12" spans="1:7" ht="18" customHeight="1" x14ac:dyDescent="0.2">
      <c r="A12" s="8"/>
      <c r="B12" s="8"/>
      <c r="C12" s="8"/>
      <c r="D12" s="8"/>
      <c r="E12" s="6">
        <v>1</v>
      </c>
      <c r="F12" s="7">
        <f t="shared" si="0"/>
        <v>0</v>
      </c>
      <c r="G12" s="7">
        <f t="shared" si="1"/>
        <v>0</v>
      </c>
    </row>
    <row r="13" spans="1:7" ht="18" customHeight="1" x14ac:dyDescent="0.2">
      <c r="A13" s="8"/>
      <c r="B13" s="8"/>
      <c r="C13" s="8"/>
      <c r="D13" s="8"/>
      <c r="E13" s="6">
        <v>1</v>
      </c>
      <c r="F13" s="7">
        <f t="shared" si="0"/>
        <v>0</v>
      </c>
      <c r="G13" s="7">
        <f t="shared" si="1"/>
        <v>0</v>
      </c>
    </row>
    <row r="14" spans="1:7" ht="18" customHeight="1" x14ac:dyDescent="0.2">
      <c r="A14" s="8"/>
      <c r="B14" s="8"/>
      <c r="C14" s="8"/>
      <c r="D14" s="8"/>
      <c r="E14" s="6">
        <v>1</v>
      </c>
      <c r="F14" s="7">
        <f t="shared" si="0"/>
        <v>0</v>
      </c>
      <c r="G14" s="7">
        <f t="shared" si="1"/>
        <v>0</v>
      </c>
    </row>
    <row r="15" spans="1:7" x14ac:dyDescent="0.2">
      <c r="A15" s="8"/>
      <c r="B15" s="8"/>
      <c r="C15" s="8"/>
      <c r="D15" s="8"/>
      <c r="E15" s="6">
        <v>1</v>
      </c>
      <c r="F15" s="7">
        <f t="shared" si="0"/>
        <v>0</v>
      </c>
      <c r="G15" s="7">
        <f t="shared" si="1"/>
        <v>0</v>
      </c>
    </row>
    <row r="17" spans="1:5" ht="18" customHeight="1" x14ac:dyDescent="0.2">
      <c r="A17" s="9" t="s">
        <v>18</v>
      </c>
      <c r="B17" s="7">
        <f>IFERROR(SUM(F6:F15),0)</f>
        <v>2700</v>
      </c>
      <c r="C17" s="10" t="s">
        <v>19</v>
      </c>
      <c r="D17" s="11"/>
    </row>
    <row r="18" spans="1:5" ht="18" customHeight="1" x14ac:dyDescent="0.2">
      <c r="A18" s="9" t="s">
        <v>20</v>
      </c>
      <c r="B18" s="7">
        <f>IFERROR(SUM(G6:G15),0)</f>
        <v>3300</v>
      </c>
      <c r="C18" s="10" t="s">
        <v>19</v>
      </c>
      <c r="D18" s="11" t="s">
        <v>21</v>
      </c>
    </row>
    <row r="20" spans="1:5" ht="18" customHeight="1" x14ac:dyDescent="0.2">
      <c r="A20" s="1" t="s">
        <v>22</v>
      </c>
      <c r="B20" s="12">
        <v>0.95</v>
      </c>
      <c r="C20" s="10" t="s">
        <v>23</v>
      </c>
      <c r="D20" s="11"/>
    </row>
    <row r="21" spans="1:5" ht="18" customHeight="1" x14ac:dyDescent="0.2">
      <c r="A21" s="1" t="s">
        <v>24</v>
      </c>
      <c r="B21" s="13">
        <v>0.2</v>
      </c>
      <c r="C21" s="10" t="s">
        <v>23</v>
      </c>
      <c r="D21" s="11" t="s">
        <v>25</v>
      </c>
    </row>
    <row r="22" spans="1:5" ht="18" customHeight="1" x14ac:dyDescent="0.2">
      <c r="A22" s="1" t="s">
        <v>26</v>
      </c>
      <c r="B22" s="14">
        <v>40</v>
      </c>
      <c r="C22" s="10" t="s">
        <v>27</v>
      </c>
      <c r="D22" s="11" t="s">
        <v>28</v>
      </c>
    </row>
    <row r="23" spans="1:5" ht="18" customHeight="1" x14ac:dyDescent="0.2">
      <c r="A23" s="1" t="s">
        <v>29</v>
      </c>
      <c r="B23" s="14">
        <v>60</v>
      </c>
      <c r="C23" s="10" t="s">
        <v>27</v>
      </c>
      <c r="D23" s="11" t="s">
        <v>28</v>
      </c>
    </row>
    <row r="25" spans="1:5" ht="19.5" customHeight="1" x14ac:dyDescent="0.2">
      <c r="A25" s="15" t="s">
        <v>30</v>
      </c>
      <c r="B25" s="40">
        <f>IFERROR(B17/B20*(1+B21)/1000,0)</f>
        <v>3.4105263157894736</v>
      </c>
      <c r="C25" s="16" t="s">
        <v>224</v>
      </c>
      <c r="D25" s="17" t="s">
        <v>31</v>
      </c>
    </row>
    <row r="26" spans="1:5" ht="19.5" customHeight="1" x14ac:dyDescent="0.2">
      <c r="A26" s="15" t="s">
        <v>32</v>
      </c>
      <c r="B26" s="40">
        <f>IFERROR(B18/B20*(1+B21)/1000,0)</f>
        <v>4.1684210526315795</v>
      </c>
      <c r="C26" s="16" t="s">
        <v>224</v>
      </c>
      <c r="D26" s="17" t="s">
        <v>33</v>
      </c>
    </row>
    <row r="27" spans="1:5" ht="9.75" customHeight="1" x14ac:dyDescent="0.2"/>
    <row r="28" spans="1:5" ht="21.75" customHeight="1" x14ac:dyDescent="0.2">
      <c r="A28" s="83" t="s">
        <v>34</v>
      </c>
      <c r="B28" s="83"/>
      <c r="C28" s="83"/>
      <c r="D28" s="83"/>
      <c r="E28" s="83"/>
    </row>
    <row r="29" spans="1:5" ht="18" customHeight="1" x14ac:dyDescent="0.2">
      <c r="A29" s="80" t="s">
        <v>35</v>
      </c>
      <c r="B29" s="80"/>
      <c r="C29" s="80"/>
      <c r="D29" s="80"/>
    </row>
    <row r="30" spans="1:5" ht="18" customHeight="1" x14ac:dyDescent="0.2">
      <c r="A30" s="1" t="s">
        <v>36</v>
      </c>
      <c r="B30" s="14">
        <v>48</v>
      </c>
      <c r="C30" s="10" t="s">
        <v>27</v>
      </c>
      <c r="D30" s="11" t="s">
        <v>37</v>
      </c>
    </row>
    <row r="31" spans="1:5" ht="18" customHeight="1" x14ac:dyDescent="0.2">
      <c r="A31" s="1" t="s">
        <v>38</v>
      </c>
      <c r="B31" s="14">
        <v>48</v>
      </c>
      <c r="C31" s="10" t="s">
        <v>27</v>
      </c>
      <c r="D31" s="11"/>
    </row>
    <row r="32" spans="1:5" ht="18" customHeight="1" x14ac:dyDescent="0.2">
      <c r="A32" s="1" t="s">
        <v>39</v>
      </c>
      <c r="B32" s="4">
        <v>100</v>
      </c>
      <c r="C32" s="10" t="s">
        <v>40</v>
      </c>
      <c r="D32" s="11"/>
    </row>
    <row r="33" spans="1:4" ht="18" customHeight="1" x14ac:dyDescent="0.2">
      <c r="A33" s="1" t="s">
        <v>41</v>
      </c>
      <c r="B33" s="18">
        <f>IFERROR(B31*B32/1000,0)</f>
        <v>4.8</v>
      </c>
      <c r="C33" s="10" t="s">
        <v>42</v>
      </c>
      <c r="D33" s="11" t="s">
        <v>43</v>
      </c>
    </row>
    <row r="34" spans="1:4" ht="18" customHeight="1" x14ac:dyDescent="0.2">
      <c r="A34" s="1" t="s">
        <v>44</v>
      </c>
      <c r="B34" s="4">
        <v>100</v>
      </c>
      <c r="C34" s="10" t="s">
        <v>45</v>
      </c>
      <c r="D34" s="11"/>
    </row>
    <row r="35" spans="1:4" ht="6" customHeight="1" x14ac:dyDescent="0.2"/>
    <row r="36" spans="1:4" ht="18" customHeight="1" x14ac:dyDescent="0.2">
      <c r="A36" s="80" t="s">
        <v>46</v>
      </c>
      <c r="B36" s="80"/>
      <c r="C36" s="80"/>
      <c r="D36" s="80"/>
    </row>
    <row r="37" spans="1:4" ht="18" customHeight="1" x14ac:dyDescent="0.2">
      <c r="A37" s="1" t="s">
        <v>47</v>
      </c>
      <c r="B37" s="13">
        <v>0.9</v>
      </c>
      <c r="C37" s="10" t="s">
        <v>23</v>
      </c>
      <c r="D37" s="11" t="s">
        <v>48</v>
      </c>
    </row>
    <row r="38" spans="1:4" ht="26" x14ac:dyDescent="0.2">
      <c r="A38" s="1" t="s">
        <v>227</v>
      </c>
      <c r="B38" s="13">
        <v>0.91</v>
      </c>
      <c r="C38" s="10" t="s">
        <v>23</v>
      </c>
      <c r="D38" s="11" t="s">
        <v>228</v>
      </c>
    </row>
    <row r="39" spans="1:4" ht="18" customHeight="1" x14ac:dyDescent="0.2">
      <c r="A39" s="1" t="s">
        <v>50</v>
      </c>
      <c r="B39" s="19">
        <v>4</v>
      </c>
      <c r="C39" s="10" t="s">
        <v>51</v>
      </c>
      <c r="D39" s="11" t="s">
        <v>52</v>
      </c>
    </row>
    <row r="41" spans="1:4" ht="18" customHeight="1" x14ac:dyDescent="0.2">
      <c r="A41" s="80" t="s">
        <v>53</v>
      </c>
      <c r="B41" s="80"/>
      <c r="C41" s="80"/>
      <c r="D41" s="80"/>
    </row>
    <row r="42" spans="1:4" ht="18" customHeight="1" x14ac:dyDescent="0.2">
      <c r="A42" s="1" t="s">
        <v>54</v>
      </c>
      <c r="B42" s="20">
        <f>B17</f>
        <v>2700</v>
      </c>
      <c r="C42" s="10" t="s">
        <v>19</v>
      </c>
      <c r="D42" s="11" t="s">
        <v>55</v>
      </c>
    </row>
    <row r="43" spans="1:4" ht="18" customHeight="1" x14ac:dyDescent="0.2">
      <c r="A43" s="1" t="s">
        <v>56</v>
      </c>
      <c r="B43" s="18">
        <f>IFERROR(B42/1000*B39,0)</f>
        <v>10.8</v>
      </c>
      <c r="C43" s="10" t="s">
        <v>42</v>
      </c>
      <c r="D43" s="11" t="s">
        <v>57</v>
      </c>
    </row>
    <row r="44" spans="1:4" ht="18" customHeight="1" x14ac:dyDescent="0.2">
      <c r="A44" s="1" t="s">
        <v>58</v>
      </c>
      <c r="B44" s="18">
        <f>IFERROR(B43/B37/B38,0)</f>
        <v>13.186813186813186</v>
      </c>
      <c r="C44" s="10" t="s">
        <v>42</v>
      </c>
      <c r="D44" s="11" t="s">
        <v>59</v>
      </c>
    </row>
    <row r="45" spans="1:4" ht="18" customHeight="1" x14ac:dyDescent="0.2">
      <c r="A45" s="1" t="s">
        <v>60</v>
      </c>
      <c r="B45" s="7">
        <f>IFERROR(B44*1000/B30,0)</f>
        <v>274.72527472527469</v>
      </c>
      <c r="C45" s="10" t="s">
        <v>40</v>
      </c>
      <c r="D45" s="11"/>
    </row>
    <row r="46" spans="1:4" ht="18" customHeight="1" x14ac:dyDescent="0.2">
      <c r="A46" s="1" t="s">
        <v>61</v>
      </c>
      <c r="B46" s="21">
        <f>IFERROR(ROUND(B30/B31,0),1)</f>
        <v>1</v>
      </c>
      <c r="C46" s="10" t="s">
        <v>62</v>
      </c>
      <c r="D46" s="11" t="s">
        <v>63</v>
      </c>
    </row>
    <row r="47" spans="1:4" ht="18" customHeight="1" x14ac:dyDescent="0.2">
      <c r="A47" s="1" t="s">
        <v>64</v>
      </c>
      <c r="B47" s="21">
        <f>IFERROR(MAX(1,CEILING(B45/B32,1)),1)</f>
        <v>3</v>
      </c>
      <c r="C47" s="10" t="s">
        <v>62</v>
      </c>
      <c r="D47" s="11" t="s">
        <v>65</v>
      </c>
    </row>
    <row r="48" spans="1:4" ht="18" customHeight="1" x14ac:dyDescent="0.2">
      <c r="A48" s="9" t="s">
        <v>66</v>
      </c>
      <c r="B48" s="21">
        <f>B46*B47</f>
        <v>3</v>
      </c>
      <c r="C48" s="10" t="s">
        <v>62</v>
      </c>
      <c r="D48" s="11"/>
    </row>
    <row r="49" spans="1:4" ht="18" customHeight="1" x14ac:dyDescent="0.2">
      <c r="A49" s="9" t="s">
        <v>235</v>
      </c>
      <c r="B49" s="96">
        <f>IFERROR(B47*B33,0)</f>
        <v>14.399999999999999</v>
      </c>
      <c r="C49" s="10" t="s">
        <v>42</v>
      </c>
      <c r="D49" s="11" t="s">
        <v>236</v>
      </c>
    </row>
    <row r="50" spans="1:4" ht="18" customHeight="1" x14ac:dyDescent="0.2">
      <c r="A50" s="1" t="s">
        <v>67</v>
      </c>
      <c r="B50" s="18">
        <f>IFERROR(B49*B37*B38,0)</f>
        <v>11.7936</v>
      </c>
      <c r="C50" s="10" t="s">
        <v>42</v>
      </c>
      <c r="D50" s="11" t="s">
        <v>68</v>
      </c>
    </row>
    <row r="51" spans="1:4" ht="6" customHeight="1" x14ac:dyDescent="0.2"/>
    <row r="52" spans="1:4" ht="18" customHeight="1" x14ac:dyDescent="0.2">
      <c r="A52" s="80" t="s">
        <v>69</v>
      </c>
      <c r="B52" s="80"/>
      <c r="C52" s="80"/>
      <c r="D52" s="80"/>
    </row>
    <row r="53" spans="1:4" ht="18" customHeight="1" x14ac:dyDescent="0.2">
      <c r="A53" s="9" t="s">
        <v>70</v>
      </c>
      <c r="B53" s="22" t="str">
        <f>IF(AND(B30&gt;=B22,B30&lt;=B23),"✓ Tensão compatível com o inversor","⚠ Tensão INCOMPATÍVEL — revisar banco ou inversor")</f>
        <v>✓ Tensão compatível com o inversor</v>
      </c>
      <c r="C53" s="10"/>
      <c r="D53" s="11"/>
    </row>
    <row r="54" spans="1:4" ht="18" customHeight="1" x14ac:dyDescent="0.2">
      <c r="A54" s="1" t="s">
        <v>71</v>
      </c>
      <c r="B54" s="7">
        <f>IFERROR(B47*B34,0)</f>
        <v>300</v>
      </c>
      <c r="C54" s="10" t="s">
        <v>45</v>
      </c>
      <c r="D54" s="11"/>
    </row>
    <row r="55" spans="1:4" ht="18" customHeight="1" x14ac:dyDescent="0.2">
      <c r="A55" s="1" t="s">
        <v>72</v>
      </c>
      <c r="B55" s="7">
        <f>IFERROR(B25*1000/B30,0)</f>
        <v>71.05263157894737</v>
      </c>
      <c r="C55" s="10" t="s">
        <v>45</v>
      </c>
      <c r="D55" s="11"/>
    </row>
    <row r="56" spans="1:4" ht="18" customHeight="1" x14ac:dyDescent="0.2">
      <c r="A56" s="1" t="s">
        <v>73</v>
      </c>
      <c r="B56" s="7">
        <f>IFERROR(B26*1000/B30,0)</f>
        <v>86.842105263157904</v>
      </c>
      <c r="C56" s="10" t="s">
        <v>45</v>
      </c>
      <c r="D56" s="11"/>
    </row>
    <row r="57" spans="1:4" ht="18" customHeight="1" x14ac:dyDescent="0.2">
      <c r="A57" s="56" t="s">
        <v>74</v>
      </c>
      <c r="B57" s="57" t="str">
        <f>IF(B54&gt;=B56,"✓ Banco fornece corrente suficiente","⚠ Banco INSUFICIENTE — aumentar paralelo")</f>
        <v>✓ Banco fornece corrente suficiente</v>
      </c>
      <c r="C57" s="58"/>
      <c r="D57" s="11"/>
    </row>
    <row r="58" spans="1:4" x14ac:dyDescent="0.2">
      <c r="A58" s="59"/>
      <c r="B58" s="59"/>
      <c r="C58" s="59"/>
    </row>
    <row r="59" spans="1:4" x14ac:dyDescent="0.2">
      <c r="A59" s="60"/>
      <c r="B59" s="60"/>
      <c r="C59" s="60"/>
    </row>
    <row r="60" spans="1:4" x14ac:dyDescent="0.2">
      <c r="A60" s="78" t="s">
        <v>94</v>
      </c>
      <c r="B60" s="78"/>
      <c r="C60" s="78"/>
    </row>
    <row r="61" spans="1:4" x14ac:dyDescent="0.2">
      <c r="A61" s="54" t="s">
        <v>95</v>
      </c>
      <c r="B61" s="55" t="s">
        <v>96</v>
      </c>
      <c r="C61" s="53"/>
    </row>
    <row r="62" spans="1:4" outlineLevel="1" x14ac:dyDescent="0.2">
      <c r="A62" s="60"/>
      <c r="B62" s="60"/>
      <c r="C62" s="60"/>
    </row>
    <row r="63" spans="1:4" outlineLevel="1" x14ac:dyDescent="0.2">
      <c r="A63" s="79" t="s">
        <v>97</v>
      </c>
      <c r="B63" s="79"/>
      <c r="C63" s="79"/>
    </row>
    <row r="64" spans="1:4" outlineLevel="1" x14ac:dyDescent="0.2">
      <c r="A64" s="41" t="s">
        <v>98</v>
      </c>
      <c r="B64" s="43">
        <v>0.95</v>
      </c>
      <c r="C64" s="42" t="s">
        <v>99</v>
      </c>
    </row>
    <row r="65" spans="1:4" outlineLevel="1" x14ac:dyDescent="0.2">
      <c r="A65" s="52" t="s">
        <v>100</v>
      </c>
      <c r="B65" s="61">
        <v>400</v>
      </c>
      <c r="C65" s="53" t="s">
        <v>87</v>
      </c>
    </row>
    <row r="66" spans="1:4" outlineLevel="1" x14ac:dyDescent="0.2">
      <c r="A66" s="60"/>
      <c r="B66" s="60"/>
      <c r="C66" s="60"/>
    </row>
    <row r="67" spans="1:4" outlineLevel="1" x14ac:dyDescent="0.2">
      <c r="A67" s="79" t="s">
        <v>101</v>
      </c>
      <c r="B67" s="79"/>
      <c r="C67" s="79"/>
    </row>
    <row r="68" spans="1:4" outlineLevel="1" x14ac:dyDescent="0.2">
      <c r="A68" s="41" t="s">
        <v>102</v>
      </c>
      <c r="B68" s="87">
        <v>1.4</v>
      </c>
      <c r="C68" s="42" t="s">
        <v>99</v>
      </c>
    </row>
    <row r="69" spans="1:4" outlineLevel="1" x14ac:dyDescent="0.2">
      <c r="A69" s="41" t="s">
        <v>103</v>
      </c>
      <c r="B69" s="87">
        <v>0.44</v>
      </c>
      <c r="C69" s="42" t="s">
        <v>99</v>
      </c>
    </row>
    <row r="70" spans="1:4" outlineLevel="1" x14ac:dyDescent="0.2">
      <c r="A70" s="41" t="s">
        <v>104</v>
      </c>
      <c r="B70" s="45">
        <v>3</v>
      </c>
      <c r="C70" s="42" t="s">
        <v>105</v>
      </c>
    </row>
    <row r="71" spans="1:4" outlineLevel="1" x14ac:dyDescent="0.2">
      <c r="A71" s="41" t="s">
        <v>106</v>
      </c>
      <c r="B71" s="44">
        <v>500</v>
      </c>
      <c r="C71" s="42" t="s">
        <v>87</v>
      </c>
    </row>
    <row r="72" spans="1:4" outlineLevel="1" x14ac:dyDescent="0.2">
      <c r="A72" s="52" t="s">
        <v>107</v>
      </c>
      <c r="B72" s="61">
        <v>300</v>
      </c>
      <c r="C72" s="53" t="s">
        <v>87</v>
      </c>
    </row>
    <row r="73" spans="1:4" x14ac:dyDescent="0.2">
      <c r="A73" s="60"/>
      <c r="B73" s="60"/>
      <c r="C73" s="60"/>
    </row>
    <row r="74" spans="1:4" x14ac:dyDescent="0.2">
      <c r="A74" s="79" t="s">
        <v>108</v>
      </c>
      <c r="B74" s="79"/>
      <c r="C74" s="79"/>
    </row>
    <row r="75" spans="1:4" x14ac:dyDescent="0.2">
      <c r="A75" s="41" t="s">
        <v>109</v>
      </c>
      <c r="B75" s="47">
        <v>0.18</v>
      </c>
      <c r="C75" s="42" t="s">
        <v>23</v>
      </c>
    </row>
    <row r="76" spans="1:4" x14ac:dyDescent="0.2">
      <c r="A76" s="52" t="s">
        <v>110</v>
      </c>
      <c r="B76" s="89">
        <v>0.28999999999999998</v>
      </c>
      <c r="C76" s="53" t="s">
        <v>99</v>
      </c>
    </row>
    <row r="77" spans="1:4" x14ac:dyDescent="0.2">
      <c r="A77" s="60"/>
      <c r="B77" s="60"/>
      <c r="C77" s="60"/>
    </row>
    <row r="78" spans="1:4" x14ac:dyDescent="0.2">
      <c r="A78" s="79" t="s">
        <v>111</v>
      </c>
      <c r="B78" s="79"/>
      <c r="C78" s="79"/>
    </row>
    <row r="79" spans="1:4" x14ac:dyDescent="0.2">
      <c r="A79" s="41" t="s">
        <v>112</v>
      </c>
      <c r="B79" s="48">
        <f>IF(B61="Convencional",B65,B71+B72)</f>
        <v>800</v>
      </c>
      <c r="C79" s="42" t="s">
        <v>87</v>
      </c>
    </row>
    <row r="80" spans="1:4" x14ac:dyDescent="0.2">
      <c r="A80" s="41" t="str">
        <f>IF(B61="Convencional","Tarifa Compensável (R$/kWh)","Tarifa Compensável Ponta (R$/kWh)")</f>
        <v>Tarifa Compensável Ponta (R$/kWh)</v>
      </c>
      <c r="B80" s="49">
        <f>IFERROR(IF(B61="Convencional",B64-(B76/(1-B75)*0.9),B68-(B76/(1-B75)*0.9)),0)</f>
        <v>1.0817073170731706</v>
      </c>
      <c r="C80" s="42" t="s">
        <v>99</v>
      </c>
      <c r="D80" s="88" t="s">
        <v>229</v>
      </c>
    </row>
    <row r="81" spans="1:5" x14ac:dyDescent="0.2">
      <c r="A81" s="41" t="str">
        <f>IF(B61="Convencional","—","Tarifa Compensável Fora Ponta (R$/kWh)")</f>
        <v>Tarifa Compensável Fora Ponta (R$/kWh)</v>
      </c>
      <c r="B81" s="49">
        <f>IFERROR(IF(B61="Convencional","",B69-(B76/(1-B75)*0.9)),0)</f>
        <v>0.12170731707317078</v>
      </c>
      <c r="C81" s="42" t="str">
        <f>IF(B61="Convencional","","R$/kWh")</f>
        <v>R$/kWh</v>
      </c>
      <c r="D81" s="88" t="s">
        <v>229</v>
      </c>
    </row>
    <row r="83" spans="1:5" ht="21.75" customHeight="1" x14ac:dyDescent="0.2">
      <c r="A83" s="81" t="s">
        <v>75</v>
      </c>
      <c r="B83" s="81"/>
      <c r="C83" s="81"/>
      <c r="D83" s="82"/>
      <c r="E83" s="83"/>
    </row>
    <row r="84" spans="1:5" ht="18" customHeight="1" x14ac:dyDescent="0.2">
      <c r="A84" s="54" t="s">
        <v>76</v>
      </c>
      <c r="B84" s="55" t="s">
        <v>77</v>
      </c>
      <c r="C84" s="53"/>
      <c r="D84" s="51" t="s">
        <v>78</v>
      </c>
    </row>
    <row r="85" spans="1:5" ht="18" customHeight="1" x14ac:dyDescent="0.2">
      <c r="A85" s="41" t="s">
        <v>79</v>
      </c>
      <c r="B85" s="45">
        <v>120</v>
      </c>
      <c r="C85" s="42" t="s">
        <v>80</v>
      </c>
      <c r="D85" s="51" t="s">
        <v>81</v>
      </c>
    </row>
    <row r="86" spans="1:5" ht="18" customHeight="1" x14ac:dyDescent="0.2">
      <c r="A86" s="41" t="s">
        <v>82</v>
      </c>
      <c r="B86" s="46">
        <v>5.45</v>
      </c>
      <c r="C86" s="42" t="s">
        <v>83</v>
      </c>
      <c r="D86" s="51" t="s">
        <v>84</v>
      </c>
    </row>
    <row r="87" spans="1:5" ht="26" x14ac:dyDescent="0.2">
      <c r="A87" s="41" t="s">
        <v>85</v>
      </c>
      <c r="B87" s="96">
        <f>IFERROR(IF(B84="Sim",IF(B61="Convencional",B79/B85,(B72+B50*30)/B85),0),0)</f>
        <v>5.4484000000000004</v>
      </c>
      <c r="C87" s="42" t="s">
        <v>83</v>
      </c>
      <c r="D87" s="51" t="s">
        <v>254</v>
      </c>
    </row>
    <row r="88" spans="1:5" ht="18" customHeight="1" x14ac:dyDescent="0.2">
      <c r="A88" s="41" t="s">
        <v>86</v>
      </c>
      <c r="B88" s="50">
        <f>IFERROR(IF(B84="Sim",B86*B85,0),0)</f>
        <v>654</v>
      </c>
      <c r="C88" s="42" t="s">
        <v>87</v>
      </c>
      <c r="D88" s="51"/>
    </row>
    <row r="89" spans="1:5" x14ac:dyDescent="0.2">
      <c r="A89" s="41" t="s">
        <v>88</v>
      </c>
      <c r="B89" s="47">
        <v>0.4</v>
      </c>
      <c r="C89" s="42" t="s">
        <v>23</v>
      </c>
      <c r="D89" s="51" t="s">
        <v>89</v>
      </c>
    </row>
    <row r="90" spans="1:5" ht="30" x14ac:dyDescent="0.2">
      <c r="A90" s="41" t="s">
        <v>90</v>
      </c>
      <c r="B90" s="50">
        <f>IFERROR(IF(B84="Sim",B88*B89,0),0)</f>
        <v>261.60000000000002</v>
      </c>
      <c r="C90" s="42" t="s">
        <v>87</v>
      </c>
      <c r="D90" s="51" t="s">
        <v>91</v>
      </c>
    </row>
    <row r="91" spans="1:5" ht="18" customHeight="1" x14ac:dyDescent="0.2">
      <c r="A91" s="41" t="s">
        <v>238</v>
      </c>
      <c r="B91" s="50">
        <f>IFERROR(IF(B84="Sim",B88-B90,0),0)</f>
        <v>392.4</v>
      </c>
      <c r="C91" s="42" t="s">
        <v>87</v>
      </c>
      <c r="D91" s="51" t="s">
        <v>239</v>
      </c>
    </row>
    <row r="92" spans="1:5" ht="18" customHeight="1" x14ac:dyDescent="0.2">
      <c r="A92" s="41" t="s">
        <v>187</v>
      </c>
      <c r="B92" s="50">
        <f>IFERROR(IF(B84="Sim",MIN(B91,B50*30),0),0)</f>
        <v>353.80799999999999</v>
      </c>
      <c r="C92" s="42" t="s">
        <v>87</v>
      </c>
      <c r="D92" s="51" t="s">
        <v>240</v>
      </c>
    </row>
    <row r="93" spans="1:5" ht="18" customHeight="1" x14ac:dyDescent="0.2">
      <c r="A93" s="41" t="s">
        <v>241</v>
      </c>
      <c r="B93" s="96">
        <f>IFERROR(IF(B84="Sim",MAX(0,B50*30-B92),0),0)</f>
        <v>0</v>
      </c>
      <c r="C93" s="42" t="s">
        <v>87</v>
      </c>
      <c r="D93" s="51" t="s">
        <v>242</v>
      </c>
    </row>
    <row r="94" spans="1:5" ht="18" customHeight="1" x14ac:dyDescent="0.2">
      <c r="A94" s="98" t="s">
        <v>92</v>
      </c>
      <c r="B94" s="94">
        <f>IFERROR(IF(B84="Sim",MAX(0,B91-B92),0),0)</f>
        <v>38.591999999999985</v>
      </c>
      <c r="C94" s="99" t="s">
        <v>87</v>
      </c>
      <c r="D94" s="92" t="s">
        <v>93</v>
      </c>
    </row>
    <row r="95" spans="1:5" ht="18" customHeight="1" x14ac:dyDescent="0.2">
      <c r="A95" s="98" t="s">
        <v>249</v>
      </c>
      <c r="B95" s="94">
        <f>IFERROR(IF(B84="Sim",B93/B38,0),0)</f>
        <v>0</v>
      </c>
      <c r="C95" s="99" t="s">
        <v>87</v>
      </c>
      <c r="D95" s="92" t="s">
        <v>250</v>
      </c>
    </row>
    <row r="96" spans="1:5" ht="18" customHeight="1" x14ac:dyDescent="0.2">
      <c r="A96" s="98" t="s">
        <v>251</v>
      </c>
      <c r="B96" s="94">
        <f>IFERROR(B72+B95,0)</f>
        <v>300</v>
      </c>
      <c r="C96" s="99" t="s">
        <v>87</v>
      </c>
      <c r="D96" s="92" t="s">
        <v>252</v>
      </c>
    </row>
    <row r="97" collapsed="1" x14ac:dyDescent="0.2"/>
  </sheetData>
  <mergeCells count="14">
    <mergeCell ref="A36:D36"/>
    <mergeCell ref="A41:D41"/>
    <mergeCell ref="A52:D52"/>
    <mergeCell ref="A83:E83"/>
    <mergeCell ref="A1:E1"/>
    <mergeCell ref="A2:E2"/>
    <mergeCell ref="A4:E4"/>
    <mergeCell ref="A28:E28"/>
    <mergeCell ref="A29:D29"/>
    <mergeCell ref="A60:C60"/>
    <mergeCell ref="A63:C63"/>
    <mergeCell ref="A67:C67"/>
    <mergeCell ref="A74:C74"/>
    <mergeCell ref="A78:C78"/>
  </mergeCells>
  <conditionalFormatting sqref="A63:C65">
    <cfRule type="expression" dxfId="5" priority="2">
      <formula>$B$61="Branca"</formula>
    </cfRule>
  </conditionalFormatting>
  <conditionalFormatting sqref="A67:C72">
    <cfRule type="expression" dxfId="4" priority="1">
      <formula>$B$61="Convencional"</formula>
    </cfRule>
  </conditionalFormatting>
  <conditionalFormatting sqref="A81:C81">
    <cfRule type="expression" dxfId="3" priority="5">
      <formula>$B$61="Convencional"</formula>
    </cfRule>
  </conditionalFormatting>
  <conditionalFormatting sqref="A85:C96">
    <cfRule type="expression" dxfId="2" priority="6">
      <formula>$B$84="Não"</formula>
    </cfRule>
  </conditionalFormatting>
  <dataValidations count="3">
    <dataValidation type="list" allowBlank="1" sqref="D6:D15" xr:uid="{00000000-0002-0000-0000-000000000000}">
      <formula1>"Resistiva,Indutiva,Eletrônica"</formula1>
      <formula2>0</formula2>
    </dataValidation>
    <dataValidation type="list" sqref="B84" xr:uid="{00000000-0002-0000-0000-000001000000}">
      <formula1>"Sim,Não"</formula1>
      <formula2>0</formula2>
    </dataValidation>
    <dataValidation type="list" sqref="B61" xr:uid="{00000000-0002-0000-0000-000002000000}">
      <formula1>"Convencional,Branca"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zoomScale="163" zoomScaleNormal="100" workbookViewId="0">
      <pane ySplit="4" topLeftCell="A16" activePane="bottomLeft" state="frozen"/>
      <selection pane="bottomLeft" activeCell="B23" sqref="B23"/>
    </sheetView>
  </sheetViews>
  <sheetFormatPr baseColWidth="10" defaultColWidth="8.6640625" defaultRowHeight="15" x14ac:dyDescent="0.2"/>
  <cols>
    <col min="1" max="1" width="34.1640625" bestFit="1" customWidth="1"/>
    <col min="2" max="2" width="9.33203125" bestFit="1" customWidth="1"/>
    <col min="3" max="3" width="6.5" bestFit="1" customWidth="1"/>
    <col min="4" max="4" width="31.5" bestFit="1" customWidth="1"/>
  </cols>
  <sheetData>
    <row r="1" spans="1:5" ht="27.75" customHeight="1" x14ac:dyDescent="0.2">
      <c r="A1" s="84" t="s">
        <v>115</v>
      </c>
      <c r="B1" s="84"/>
      <c r="C1" s="84"/>
      <c r="D1" s="84"/>
      <c r="E1" s="84"/>
    </row>
    <row r="2" spans="1:5" ht="15.75" customHeight="1" x14ac:dyDescent="0.2">
      <c r="A2" s="85" t="s">
        <v>1</v>
      </c>
      <c r="B2" s="85"/>
      <c r="C2" s="85"/>
      <c r="D2" s="85"/>
      <c r="E2" s="85"/>
    </row>
    <row r="3" spans="1:5" ht="6" customHeight="1" x14ac:dyDescent="0.2"/>
    <row r="4" spans="1:5" ht="21.75" customHeight="1" x14ac:dyDescent="0.2">
      <c r="A4" s="83" t="s">
        <v>116</v>
      </c>
      <c r="B4" s="83"/>
      <c r="C4" s="83"/>
      <c r="D4" s="83"/>
      <c r="E4" s="83"/>
    </row>
    <row r="5" spans="1:5" ht="18" customHeight="1" x14ac:dyDescent="0.2">
      <c r="A5" s="9" t="s">
        <v>117</v>
      </c>
      <c r="B5" s="23" t="s">
        <v>118</v>
      </c>
      <c r="C5" s="10"/>
      <c r="D5" s="11" t="s">
        <v>119</v>
      </c>
    </row>
    <row r="6" spans="1:5" ht="15" customHeight="1" x14ac:dyDescent="0.2"/>
    <row r="7" spans="1:5" ht="18" customHeight="1" x14ac:dyDescent="0.2">
      <c r="A7" s="80" t="s">
        <v>232</v>
      </c>
      <c r="B7" s="80"/>
      <c r="C7" s="80"/>
      <c r="D7" s="80"/>
    </row>
    <row r="8" spans="1:5" x14ac:dyDescent="0.2">
      <c r="A8" s="1" t="s">
        <v>230</v>
      </c>
      <c r="B8" s="25">
        <v>2500</v>
      </c>
      <c r="C8" s="10" t="s">
        <v>99</v>
      </c>
      <c r="D8" s="11" t="s">
        <v>231</v>
      </c>
    </row>
    <row r="9" spans="1:5" ht="18" customHeight="1" x14ac:dyDescent="0.2">
      <c r="A9" s="1" t="s">
        <v>237</v>
      </c>
      <c r="B9" s="26">
        <f>Premissas!B49</f>
        <v>14.399999999999999</v>
      </c>
      <c r="C9" s="10" t="s">
        <v>42</v>
      </c>
      <c r="D9" s="11"/>
    </row>
    <row r="10" spans="1:5" ht="26" x14ac:dyDescent="0.2">
      <c r="A10" s="1" t="s">
        <v>233</v>
      </c>
      <c r="B10" s="93">
        <f>Premissas!B86</f>
        <v>5.45</v>
      </c>
      <c r="C10" s="10" t="s">
        <v>83</v>
      </c>
      <c r="D10" s="11" t="s">
        <v>234</v>
      </c>
    </row>
    <row r="11" spans="1:5" ht="18" customHeight="1" x14ac:dyDescent="0.2">
      <c r="A11" s="90" t="s">
        <v>120</v>
      </c>
      <c r="B11" s="95">
        <f>IFERROR(B8*B9,0)</f>
        <v>36000</v>
      </c>
      <c r="C11" s="91" t="s">
        <v>121</v>
      </c>
      <c r="D11" s="92"/>
    </row>
    <row r="12" spans="1:5" ht="15" customHeight="1" x14ac:dyDescent="0.2"/>
    <row r="13" spans="1:5" ht="18" customHeight="1" x14ac:dyDescent="0.2">
      <c r="A13" s="80" t="s">
        <v>122</v>
      </c>
      <c r="B13" s="80"/>
      <c r="C13" s="80"/>
      <c r="D13" s="80"/>
    </row>
    <row r="14" spans="1:5" ht="18" customHeight="1" x14ac:dyDescent="0.2">
      <c r="A14" s="1" t="s">
        <v>123</v>
      </c>
      <c r="B14" s="25">
        <v>8000</v>
      </c>
      <c r="C14" s="10" t="s">
        <v>121</v>
      </c>
      <c r="D14" s="11"/>
    </row>
    <row r="15" spans="1:5" ht="18" customHeight="1" x14ac:dyDescent="0.2">
      <c r="A15" s="1" t="s">
        <v>124</v>
      </c>
      <c r="B15" s="25">
        <v>12000</v>
      </c>
      <c r="C15" s="10" t="s">
        <v>121</v>
      </c>
      <c r="D15" s="11" t="s">
        <v>125</v>
      </c>
    </row>
    <row r="16" spans="1:5" ht="18" customHeight="1" x14ac:dyDescent="0.2">
      <c r="A16" s="1" t="s">
        <v>126</v>
      </c>
      <c r="B16" s="25">
        <v>3500</v>
      </c>
      <c r="C16" s="10" t="s">
        <v>121</v>
      </c>
      <c r="D16" s="11"/>
    </row>
    <row r="17" spans="1:5" ht="18" customHeight="1" x14ac:dyDescent="0.2">
      <c r="A17" s="1" t="s">
        <v>127</v>
      </c>
      <c r="B17" s="25">
        <v>1500</v>
      </c>
      <c r="C17" s="10" t="s">
        <v>121</v>
      </c>
      <c r="D17" s="11"/>
    </row>
    <row r="18" spans="1:5" ht="18" customHeight="1" x14ac:dyDescent="0.2">
      <c r="A18" s="1" t="s">
        <v>128</v>
      </c>
      <c r="B18" s="27">
        <f>IFERROR(B14+B15+B16+B17,0)</f>
        <v>25000</v>
      </c>
      <c r="C18" s="10" t="s">
        <v>121</v>
      </c>
      <c r="D18" s="11"/>
    </row>
    <row r="20" spans="1:5" ht="21.75" customHeight="1" x14ac:dyDescent="0.2">
      <c r="A20" s="2" t="s">
        <v>129</v>
      </c>
      <c r="B20" s="28">
        <f>IFERROR(IF(B5="Simplificado",B11,B18),0)</f>
        <v>36000</v>
      </c>
      <c r="C20" s="29" t="s">
        <v>121</v>
      </c>
    </row>
    <row r="21" spans="1:5" ht="9.75" customHeight="1" x14ac:dyDescent="0.2"/>
    <row r="22" spans="1:5" ht="21.75" customHeight="1" x14ac:dyDescent="0.2">
      <c r="A22" s="83" t="s">
        <v>130</v>
      </c>
      <c r="B22" s="83"/>
      <c r="C22" s="83"/>
      <c r="D22" s="83"/>
      <c r="E22" s="83"/>
    </row>
    <row r="23" spans="1:5" ht="26" x14ac:dyDescent="0.2">
      <c r="A23" s="9" t="s">
        <v>131</v>
      </c>
      <c r="B23" s="23" t="s">
        <v>248</v>
      </c>
      <c r="C23" s="10" t="s">
        <v>132</v>
      </c>
      <c r="D23" s="11" t="s">
        <v>225</v>
      </c>
    </row>
    <row r="24" spans="1:5" ht="18" customHeight="1" x14ac:dyDescent="0.2">
      <c r="A24" s="1" t="s">
        <v>133</v>
      </c>
      <c r="B24" s="12">
        <v>0.1</v>
      </c>
      <c r="C24" s="10" t="s">
        <v>23</v>
      </c>
      <c r="D24" s="11" t="s">
        <v>134</v>
      </c>
    </row>
    <row r="25" spans="1:5" ht="18" customHeight="1" x14ac:dyDescent="0.2">
      <c r="A25" s="1" t="s">
        <v>135</v>
      </c>
      <c r="B25" s="12">
        <v>0.12</v>
      </c>
      <c r="C25" s="10" t="s">
        <v>23</v>
      </c>
      <c r="D25" s="11" t="s">
        <v>136</v>
      </c>
    </row>
    <row r="26" spans="1:5" ht="18" customHeight="1" x14ac:dyDescent="0.2">
      <c r="A26" s="1" t="s">
        <v>137</v>
      </c>
      <c r="B26" s="12">
        <v>5.0000000000000001E-3</v>
      </c>
      <c r="C26" s="10" t="s">
        <v>23</v>
      </c>
      <c r="D26" s="11" t="s">
        <v>138</v>
      </c>
    </row>
    <row r="27" spans="1:5" ht="18" customHeight="1" x14ac:dyDescent="0.2">
      <c r="A27" s="1" t="s">
        <v>139</v>
      </c>
      <c r="B27" s="12">
        <v>0.02</v>
      </c>
      <c r="C27" s="10" t="s">
        <v>23</v>
      </c>
      <c r="D27" s="11" t="s">
        <v>140</v>
      </c>
    </row>
    <row r="28" spans="1:5" ht="18" customHeight="1" x14ac:dyDescent="0.2">
      <c r="A28" s="1" t="s">
        <v>141</v>
      </c>
      <c r="B28" s="25">
        <v>12000</v>
      </c>
      <c r="C28" s="10" t="s">
        <v>121</v>
      </c>
      <c r="D28" s="11" t="s">
        <v>142</v>
      </c>
    </row>
    <row r="29" spans="1:5" ht="18" customHeight="1" x14ac:dyDescent="0.2">
      <c r="A29" s="1" t="s">
        <v>143</v>
      </c>
      <c r="B29" s="14">
        <v>13</v>
      </c>
      <c r="C29" s="10" t="s">
        <v>144</v>
      </c>
      <c r="D29" s="11" t="s">
        <v>145</v>
      </c>
    </row>
    <row r="30" spans="1:5" ht="18" customHeight="1" x14ac:dyDescent="0.2">
      <c r="A30" s="1" t="s">
        <v>146</v>
      </c>
      <c r="B30" s="12">
        <v>0.04</v>
      </c>
      <c r="C30" s="10" t="s">
        <v>23</v>
      </c>
      <c r="D30" s="11" t="s">
        <v>147</v>
      </c>
    </row>
  </sheetData>
  <mergeCells count="6">
    <mergeCell ref="A22:E22"/>
    <mergeCell ref="A1:E1"/>
    <mergeCell ref="A2:E2"/>
    <mergeCell ref="A4:E4"/>
    <mergeCell ref="A7:D7"/>
    <mergeCell ref="A13:D13"/>
  </mergeCells>
  <conditionalFormatting sqref="A7:D11">
    <cfRule type="expression" dxfId="1" priority="1">
      <formula>$B$5="Detalhado"</formula>
    </cfRule>
  </conditionalFormatting>
  <conditionalFormatting sqref="A13:D18">
    <cfRule type="expression" dxfId="0" priority="2">
      <formula>$B$5="Simplificado"</formula>
    </cfRule>
  </conditionalFormatting>
  <dataValidations count="2">
    <dataValidation type="list" sqref="B5" xr:uid="{00000000-0002-0000-0100-000000000000}">
      <formula1>"Simplificado,Detalhado"</formula1>
      <formula2>0</formula2>
    </dataValidation>
    <dataValidation type="list" allowBlank="1" showInputMessage="1" showErrorMessage="1" errorTitle="Valor inválido" error="Selecione 12 ou 24 anos." sqref="B23" xr:uid="{F396562E-0718-F543-BEC9-EE0FFC045438}">
      <formula1>"12,24"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zoomScale="142" zoomScaleNormal="100" workbookViewId="0">
      <pane ySplit="4" topLeftCell="A5" activePane="bottomLeft" state="frozen"/>
      <selection pane="bottomLeft" sqref="A1:E1"/>
    </sheetView>
  </sheetViews>
  <sheetFormatPr baseColWidth="10" defaultColWidth="8.6640625" defaultRowHeight="15" x14ac:dyDescent="0.2"/>
  <cols>
    <col min="1" max="1" width="38" customWidth="1"/>
    <col min="2" max="2" width="16" customWidth="1"/>
    <col min="3" max="3" width="14" customWidth="1"/>
    <col min="4" max="4" width="32" customWidth="1"/>
  </cols>
  <sheetData>
    <row r="1" spans="1:5" ht="27.75" customHeight="1" x14ac:dyDescent="0.2">
      <c r="A1" s="84" t="s">
        <v>148</v>
      </c>
      <c r="B1" s="84"/>
      <c r="C1" s="84"/>
      <c r="D1" s="84"/>
      <c r="E1" s="84"/>
    </row>
    <row r="2" spans="1:5" ht="15.75" customHeight="1" x14ac:dyDescent="0.2">
      <c r="A2" s="85" t="s">
        <v>1</v>
      </c>
      <c r="B2" s="85"/>
      <c r="C2" s="85"/>
      <c r="D2" s="85"/>
      <c r="E2" s="85"/>
    </row>
    <row r="3" spans="1:5" ht="6" customHeight="1" x14ac:dyDescent="0.2"/>
    <row r="4" spans="1:5" ht="21.75" customHeight="1" x14ac:dyDescent="0.2">
      <c r="A4" s="83" t="s">
        <v>149</v>
      </c>
      <c r="B4" s="83"/>
      <c r="C4" s="83"/>
      <c r="D4" s="83"/>
      <c r="E4" s="83"/>
    </row>
    <row r="5" spans="1:5" ht="18" customHeight="1" x14ac:dyDescent="0.2">
      <c r="A5" s="1" t="s">
        <v>54</v>
      </c>
      <c r="B5" s="20">
        <f>Premissas!B17</f>
        <v>2700</v>
      </c>
      <c r="C5" s="10" t="s">
        <v>19</v>
      </c>
      <c r="D5" s="11"/>
    </row>
    <row r="6" spans="1:5" ht="18" customHeight="1" x14ac:dyDescent="0.2">
      <c r="A6" s="1" t="s">
        <v>67</v>
      </c>
      <c r="B6" s="26">
        <f>Premissas!B50</f>
        <v>11.7936</v>
      </c>
      <c r="C6" s="10" t="s">
        <v>42</v>
      </c>
      <c r="D6" s="11"/>
    </row>
    <row r="7" spans="1:5" ht="18" customHeight="1" x14ac:dyDescent="0.2">
      <c r="A7" s="1" t="s">
        <v>150</v>
      </c>
      <c r="B7" s="30">
        <f>Premissas!B48</f>
        <v>3</v>
      </c>
      <c r="C7" s="10" t="s">
        <v>62</v>
      </c>
      <c r="D7" s="11"/>
    </row>
    <row r="8" spans="1:5" ht="18" customHeight="1" x14ac:dyDescent="0.2">
      <c r="A8" s="1" t="s">
        <v>151</v>
      </c>
      <c r="B8" s="31">
        <f>IFERROR(Premissas!B50/(Premissas!B17/1000),0)</f>
        <v>4.3679999999999994</v>
      </c>
      <c r="C8" s="10" t="s">
        <v>51</v>
      </c>
      <c r="D8" s="11" t="s">
        <v>152</v>
      </c>
    </row>
    <row r="9" spans="1:5" ht="6" customHeight="1" x14ac:dyDescent="0.2"/>
    <row r="10" spans="1:5" ht="21.75" customHeight="1" x14ac:dyDescent="0.2">
      <c r="A10" s="83" t="s">
        <v>116</v>
      </c>
      <c r="B10" s="83"/>
      <c r="C10" s="83"/>
      <c r="D10" s="83"/>
      <c r="E10" s="83"/>
    </row>
    <row r="11" spans="1:5" ht="18" customHeight="1" x14ac:dyDescent="0.2">
      <c r="A11" s="1" t="s">
        <v>153</v>
      </c>
      <c r="B11" s="32">
        <f>Financeiro!B20</f>
        <v>36000</v>
      </c>
      <c r="C11" s="10" t="s">
        <v>121</v>
      </c>
      <c r="D11" s="11"/>
    </row>
    <row r="12" spans="1:5" ht="6" customHeight="1" x14ac:dyDescent="0.2"/>
    <row r="13" spans="1:5" ht="21.75" customHeight="1" x14ac:dyDescent="0.2">
      <c r="A13" s="83" t="s">
        <v>154</v>
      </c>
      <c r="B13" s="83"/>
      <c r="C13" s="83"/>
      <c r="D13" s="83"/>
      <c r="E13" s="83"/>
    </row>
    <row r="14" spans="1:5" ht="60" customHeight="1" x14ac:dyDescent="0.2">
      <c r="A14" s="86" t="s">
        <v>155</v>
      </c>
      <c r="B14" s="86"/>
      <c r="C14" s="86"/>
      <c r="D14" s="86"/>
    </row>
    <row r="15" spans="1:5" ht="15" customHeight="1" x14ac:dyDescent="0.2">
      <c r="A15" s="86"/>
      <c r="B15" s="86"/>
      <c r="C15" s="86"/>
      <c r="D15" s="86"/>
    </row>
    <row r="16" spans="1:5" ht="15" customHeight="1" x14ac:dyDescent="0.2">
      <c r="A16" s="86"/>
      <c r="B16" s="86"/>
      <c r="C16" s="86"/>
      <c r="D16" s="86"/>
    </row>
  </sheetData>
  <mergeCells count="6">
    <mergeCell ref="A14:D16"/>
    <mergeCell ref="A1:E1"/>
    <mergeCell ref="A2:E2"/>
    <mergeCell ref="A4:E4"/>
    <mergeCell ref="A10:E10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zoomScale="150" zoomScaleNormal="100" workbookViewId="0">
      <pane ySplit="4" topLeftCell="A17" activePane="bottomLeft" state="frozen"/>
      <selection pane="bottomLeft" activeCell="B33" sqref="B33"/>
    </sheetView>
  </sheetViews>
  <sheetFormatPr baseColWidth="10" defaultColWidth="8.6640625" defaultRowHeight="15" x14ac:dyDescent="0.2"/>
  <cols>
    <col min="1" max="1" width="38" customWidth="1"/>
    <col min="2" max="2" width="16" customWidth="1"/>
    <col min="3" max="3" width="14" customWidth="1"/>
    <col min="4" max="4" width="32" customWidth="1"/>
  </cols>
  <sheetData>
    <row r="1" spans="1:5" ht="27.75" customHeight="1" x14ac:dyDescent="0.2">
      <c r="A1" s="84" t="s">
        <v>156</v>
      </c>
      <c r="B1" s="84"/>
      <c r="C1" s="84"/>
      <c r="D1" s="84"/>
      <c r="E1" s="84"/>
    </row>
    <row r="2" spans="1:5" ht="15.75" customHeight="1" x14ac:dyDescent="0.2">
      <c r="A2" s="85" t="s">
        <v>1</v>
      </c>
      <c r="B2" s="85"/>
      <c r="C2" s="85"/>
      <c r="D2" s="85"/>
      <c r="E2" s="85"/>
    </row>
    <row r="3" spans="1:5" ht="6" customHeight="1" x14ac:dyDescent="0.2"/>
    <row r="4" spans="1:5" ht="21.75" customHeight="1" x14ac:dyDescent="0.2">
      <c r="A4" s="83" t="s">
        <v>157</v>
      </c>
      <c r="B4" s="83"/>
      <c r="C4" s="83"/>
      <c r="D4" s="83"/>
      <c r="E4" s="83"/>
    </row>
    <row r="5" spans="1:5" ht="18" customHeight="1" x14ac:dyDescent="0.2">
      <c r="A5" s="1" t="s">
        <v>67</v>
      </c>
      <c r="B5" s="26">
        <f>Premissas!B50</f>
        <v>11.7936</v>
      </c>
      <c r="C5" s="10" t="s">
        <v>42</v>
      </c>
      <c r="D5" s="11"/>
    </row>
    <row r="6" spans="1:5" ht="18" customHeight="1" x14ac:dyDescent="0.2">
      <c r="A6" s="1" t="s">
        <v>49</v>
      </c>
      <c r="B6" s="33">
        <f>Premissas!B38</f>
        <v>0.91</v>
      </c>
      <c r="C6" s="10" t="s">
        <v>23</v>
      </c>
      <c r="D6" s="11"/>
    </row>
    <row r="7" spans="1:5" ht="18" customHeight="1" x14ac:dyDescent="0.2">
      <c r="A7" s="1" t="s">
        <v>102</v>
      </c>
      <c r="B7" s="97">
        <f>Premissas!B68</f>
        <v>1.4</v>
      </c>
      <c r="C7" s="10" t="s">
        <v>99</v>
      </c>
      <c r="D7" s="11"/>
    </row>
    <row r="8" spans="1:5" ht="18" customHeight="1" x14ac:dyDescent="0.2">
      <c r="A8" s="1" t="s">
        <v>103</v>
      </c>
      <c r="B8" s="97">
        <f>Premissas!B69</f>
        <v>0.44</v>
      </c>
      <c r="C8" s="10" t="s">
        <v>99</v>
      </c>
      <c r="D8" s="11"/>
    </row>
    <row r="9" spans="1:5" ht="18" customHeight="1" x14ac:dyDescent="0.2">
      <c r="A9" s="1" t="s">
        <v>106</v>
      </c>
      <c r="B9" s="20">
        <f>Premissas!B71</f>
        <v>500</v>
      </c>
      <c r="C9" s="10" t="s">
        <v>87</v>
      </c>
      <c r="D9" s="11"/>
    </row>
    <row r="10" spans="1:5" ht="18" customHeight="1" x14ac:dyDescent="0.2">
      <c r="A10" s="1" t="s">
        <v>110</v>
      </c>
      <c r="B10" s="34">
        <f>Premissas!B76</f>
        <v>0.28999999999999998</v>
      </c>
      <c r="C10" s="10" t="s">
        <v>99</v>
      </c>
      <c r="D10" s="11"/>
    </row>
    <row r="11" spans="1:5" ht="18" customHeight="1" x14ac:dyDescent="0.2">
      <c r="A11" s="1" t="s">
        <v>109</v>
      </c>
      <c r="B11" s="35">
        <f>Premissas!B75</f>
        <v>0.18</v>
      </c>
      <c r="C11" s="10" t="s">
        <v>23</v>
      </c>
      <c r="D11" s="11"/>
    </row>
    <row r="12" spans="1:5" ht="6" customHeight="1" x14ac:dyDescent="0.2"/>
    <row r="13" spans="1:5" ht="21.75" customHeight="1" x14ac:dyDescent="0.2">
      <c r="A13" s="83" t="s">
        <v>158</v>
      </c>
      <c r="B13" s="83"/>
      <c r="C13" s="83"/>
      <c r="D13" s="83"/>
      <c r="E13" s="83"/>
    </row>
    <row r="14" spans="1:5" ht="18" customHeight="1" x14ac:dyDescent="0.2">
      <c r="A14" s="1" t="s">
        <v>159</v>
      </c>
      <c r="B14" s="18">
        <f>B5</f>
        <v>11.7936</v>
      </c>
      <c r="C14" s="10" t="s">
        <v>42</v>
      </c>
      <c r="D14" s="11" t="s">
        <v>160</v>
      </c>
    </row>
    <row r="15" spans="1:5" ht="18" customHeight="1" x14ac:dyDescent="0.2">
      <c r="A15" s="1" t="s">
        <v>161</v>
      </c>
      <c r="B15" s="14">
        <v>30</v>
      </c>
      <c r="C15" s="10" t="s">
        <v>162</v>
      </c>
      <c r="D15" s="11" t="s">
        <v>163</v>
      </c>
    </row>
    <row r="16" spans="1:5" ht="18" customHeight="1" x14ac:dyDescent="0.2">
      <c r="A16" s="1" t="s">
        <v>164</v>
      </c>
      <c r="B16" s="24">
        <f>IFERROR(MIN(B14*B15,B9),0)</f>
        <v>353.80799999999999</v>
      </c>
      <c r="C16" s="10" t="s">
        <v>87</v>
      </c>
      <c r="D16" s="11" t="s">
        <v>165</v>
      </c>
    </row>
    <row r="17" spans="1:5" ht="18" customHeight="1" x14ac:dyDescent="0.2">
      <c r="A17" s="1" t="s">
        <v>166</v>
      </c>
      <c r="B17" s="24">
        <f>IFERROR(B16/B6,0)</f>
        <v>388.79999999999995</v>
      </c>
      <c r="C17" s="10" t="s">
        <v>87</v>
      </c>
      <c r="D17" s="11" t="s">
        <v>167</v>
      </c>
    </row>
    <row r="19" spans="1:5" ht="21.75" customHeight="1" x14ac:dyDescent="0.2">
      <c r="A19" s="83" t="s">
        <v>168</v>
      </c>
      <c r="B19" s="83"/>
      <c r="C19" s="83"/>
      <c r="D19" s="83"/>
      <c r="E19" s="83"/>
    </row>
    <row r="20" spans="1:5" ht="18" customHeight="1" x14ac:dyDescent="0.2">
      <c r="A20" s="1" t="s">
        <v>169</v>
      </c>
      <c r="B20" s="36">
        <f>IFERROR(B16*B7,0)</f>
        <v>495.33119999999997</v>
      </c>
      <c r="C20" s="10" t="s">
        <v>170</v>
      </c>
      <c r="D20" s="11" t="s">
        <v>171</v>
      </c>
    </row>
    <row r="21" spans="1:5" x14ac:dyDescent="0.2">
      <c r="A21" s="1" t="s">
        <v>172</v>
      </c>
      <c r="B21" s="36">
        <f>IFERROR(B17*B8,0)</f>
        <v>171.07199999999997</v>
      </c>
      <c r="C21" s="10" t="s">
        <v>170</v>
      </c>
      <c r="D21" s="11" t="s">
        <v>173</v>
      </c>
    </row>
    <row r="22" spans="1:5" ht="18" customHeight="1" x14ac:dyDescent="0.2">
      <c r="A22" s="1" t="s">
        <v>174</v>
      </c>
      <c r="B22" s="36">
        <f>IFERROR(B20-B21,0)</f>
        <v>324.25919999999996</v>
      </c>
      <c r="C22" s="10" t="s">
        <v>170</v>
      </c>
      <c r="D22" s="11"/>
    </row>
    <row r="24" spans="1:5" ht="18" customHeight="1" x14ac:dyDescent="0.2">
      <c r="A24" s="80" t="s">
        <v>175</v>
      </c>
      <c r="B24" s="80"/>
      <c r="C24" s="80"/>
      <c r="D24" s="80"/>
    </row>
    <row r="25" spans="1:5" ht="54.75" customHeight="1" x14ac:dyDescent="0.2">
      <c r="A25" s="86" t="s">
        <v>176</v>
      </c>
      <c r="B25" s="86"/>
      <c r="C25" s="86"/>
      <c r="D25" s="86"/>
    </row>
    <row r="26" spans="1:5" ht="15" customHeight="1" x14ac:dyDescent="0.2">
      <c r="A26" s="86"/>
      <c r="B26" s="86"/>
      <c r="C26" s="86"/>
      <c r="D26" s="86"/>
    </row>
    <row r="27" spans="1:5" ht="15" customHeight="1" x14ac:dyDescent="0.2">
      <c r="A27" s="86"/>
      <c r="B27" s="86"/>
      <c r="C27" s="86"/>
      <c r="D27" s="86"/>
    </row>
    <row r="28" spans="1:5" ht="9.75" customHeight="1" x14ac:dyDescent="0.2"/>
    <row r="29" spans="1:5" ht="21.75" customHeight="1" x14ac:dyDescent="0.2">
      <c r="A29" s="83" t="s">
        <v>177</v>
      </c>
      <c r="B29" s="83"/>
      <c r="C29" s="83"/>
      <c r="D29" s="83"/>
    </row>
    <row r="30" spans="1:5" ht="18" customHeight="1" x14ac:dyDescent="0.2">
      <c r="A30" s="1" t="s">
        <v>178</v>
      </c>
      <c r="B30" s="36">
        <f>B22</f>
        <v>324.25919999999996</v>
      </c>
      <c r="C30" s="10" t="s">
        <v>170</v>
      </c>
      <c r="D30" s="11"/>
    </row>
    <row r="31" spans="1:5" ht="18" customHeight="1" x14ac:dyDescent="0.2">
      <c r="A31" s="1" t="s">
        <v>179</v>
      </c>
      <c r="B31" s="27">
        <f>IFERROR(B30*12,0)</f>
        <v>3891.1103999999996</v>
      </c>
      <c r="C31" s="10" t="s">
        <v>180</v>
      </c>
      <c r="D31" s="11"/>
    </row>
    <row r="32" spans="1:5" ht="18" customHeight="1" x14ac:dyDescent="0.2">
      <c r="A32" s="1" t="s">
        <v>153</v>
      </c>
      <c r="B32" s="32">
        <f>Financeiro!B20</f>
        <v>36000</v>
      </c>
      <c r="C32" s="10" t="s">
        <v>121</v>
      </c>
      <c r="D32" s="11"/>
    </row>
    <row r="33" spans="1:4" ht="18" customHeight="1" x14ac:dyDescent="0.2">
      <c r="A33" s="1" t="s">
        <v>181</v>
      </c>
      <c r="B33" s="31">
        <f>IFERROR(Financeiro!B20/B31,0)</f>
        <v>9.2518577730408271</v>
      </c>
      <c r="C33" s="10" t="s">
        <v>132</v>
      </c>
      <c r="D33" s="11"/>
    </row>
  </sheetData>
  <mergeCells count="8">
    <mergeCell ref="A24:D24"/>
    <mergeCell ref="A25:D27"/>
    <mergeCell ref="A29:D29"/>
    <mergeCell ref="A1:E1"/>
    <mergeCell ref="A2:E2"/>
    <mergeCell ref="A4:E4"/>
    <mergeCell ref="A13:E13"/>
    <mergeCell ref="A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8"/>
  <sheetViews>
    <sheetView zoomScale="150" zoomScaleNormal="100" workbookViewId="0">
      <pane ySplit="4" topLeftCell="A23" activePane="bottomLeft" state="frozen"/>
      <selection pane="bottomLeft" activeCell="B18" sqref="B18"/>
    </sheetView>
  </sheetViews>
  <sheetFormatPr baseColWidth="10" defaultColWidth="8.6640625" defaultRowHeight="15" x14ac:dyDescent="0.2"/>
  <cols>
    <col min="1" max="1" width="38" customWidth="1"/>
    <col min="2" max="2" width="16" customWidth="1"/>
    <col min="3" max="3" width="14" customWidth="1"/>
    <col min="4" max="4" width="32" customWidth="1"/>
  </cols>
  <sheetData>
    <row r="1" spans="1:5" ht="27.75" customHeight="1" x14ac:dyDescent="0.2">
      <c r="A1" s="84" t="s">
        <v>182</v>
      </c>
      <c r="B1" s="84"/>
      <c r="C1" s="84"/>
      <c r="D1" s="84"/>
      <c r="E1" s="84"/>
    </row>
    <row r="2" spans="1:5" ht="15.75" customHeight="1" x14ac:dyDescent="0.2">
      <c r="A2" s="85" t="s">
        <v>1</v>
      </c>
      <c r="B2" s="85"/>
      <c r="C2" s="85"/>
      <c r="D2" s="85"/>
      <c r="E2" s="85"/>
    </row>
    <row r="3" spans="1:5" ht="6" customHeight="1" x14ac:dyDescent="0.2"/>
    <row r="4" spans="1:5" ht="21.75" customHeight="1" x14ac:dyDescent="0.2">
      <c r="A4" s="83" t="s">
        <v>157</v>
      </c>
      <c r="B4" s="83"/>
      <c r="C4" s="83"/>
      <c r="D4" s="83"/>
      <c r="E4" s="83"/>
    </row>
    <row r="5" spans="1:5" ht="18" customHeight="1" x14ac:dyDescent="0.2">
      <c r="A5" s="1" t="s">
        <v>183</v>
      </c>
      <c r="B5" s="23" t="str">
        <f>Premissas!B84</f>
        <v>Sim</v>
      </c>
      <c r="C5" s="10"/>
      <c r="D5" s="11"/>
    </row>
    <row r="6" spans="1:5" ht="18" customHeight="1" x14ac:dyDescent="0.2">
      <c r="A6" s="1" t="s">
        <v>184</v>
      </c>
      <c r="B6" s="37">
        <f>Premissas!B88</f>
        <v>654</v>
      </c>
      <c r="C6" s="10" t="s">
        <v>87</v>
      </c>
      <c r="D6" s="11"/>
    </row>
    <row r="7" spans="1:5" ht="18" customHeight="1" x14ac:dyDescent="0.2">
      <c r="A7" s="1" t="s">
        <v>185</v>
      </c>
      <c r="B7" s="37">
        <f>Premissas!B90</f>
        <v>261.60000000000002</v>
      </c>
      <c r="C7" s="10" t="s">
        <v>87</v>
      </c>
      <c r="D7" s="11" t="s">
        <v>186</v>
      </c>
    </row>
    <row r="8" spans="1:5" ht="18" customHeight="1" x14ac:dyDescent="0.2">
      <c r="A8" s="1" t="s">
        <v>187</v>
      </c>
      <c r="B8" s="37">
        <f>Premissas!B92</f>
        <v>353.80799999999999</v>
      </c>
      <c r="C8" s="10" t="s">
        <v>87</v>
      </c>
      <c r="D8" s="11"/>
    </row>
    <row r="9" spans="1:5" ht="18" customHeight="1" x14ac:dyDescent="0.2">
      <c r="A9" s="1" t="s">
        <v>188</v>
      </c>
      <c r="B9" s="37">
        <f>Premissas!B94</f>
        <v>38.591999999999985</v>
      </c>
      <c r="C9" s="10" t="s">
        <v>87</v>
      </c>
      <c r="D9" s="11" t="s">
        <v>93</v>
      </c>
    </row>
    <row r="10" spans="1:5" ht="18" customHeight="1" x14ac:dyDescent="0.2">
      <c r="A10" s="1" t="s">
        <v>67</v>
      </c>
      <c r="B10" s="26">
        <f>Premissas!B50</f>
        <v>11.7936</v>
      </c>
      <c r="C10" s="10" t="s">
        <v>42</v>
      </c>
      <c r="D10" s="11"/>
    </row>
    <row r="11" spans="1:5" ht="18" customHeight="1" x14ac:dyDescent="0.2">
      <c r="A11" s="1" t="s">
        <v>189</v>
      </c>
      <c r="B11" s="34">
        <f>Premissas!B68</f>
        <v>1.4</v>
      </c>
      <c r="C11" s="10" t="s">
        <v>99</v>
      </c>
      <c r="D11" s="11"/>
    </row>
    <row r="12" spans="1:5" ht="18" customHeight="1" x14ac:dyDescent="0.2">
      <c r="A12" s="1" t="s">
        <v>103</v>
      </c>
      <c r="B12" s="34">
        <f>Premissas!B69</f>
        <v>0.44</v>
      </c>
      <c r="C12" s="10" t="s">
        <v>99</v>
      </c>
      <c r="D12" s="11"/>
    </row>
    <row r="13" spans="1:5" ht="18" customHeight="1" x14ac:dyDescent="0.2">
      <c r="A13" s="1" t="s">
        <v>113</v>
      </c>
      <c r="B13" s="34">
        <f>Premissas!B80</f>
        <v>1.0817073170731706</v>
      </c>
      <c r="C13" s="10" t="s">
        <v>99</v>
      </c>
      <c r="D13" s="11" t="s">
        <v>190</v>
      </c>
    </row>
    <row r="14" spans="1:5" ht="18" customHeight="1" x14ac:dyDescent="0.2">
      <c r="A14" s="1" t="s">
        <v>114</v>
      </c>
      <c r="B14" s="34">
        <f>Premissas!B81</f>
        <v>0.12170731707317078</v>
      </c>
      <c r="C14" s="10" t="s">
        <v>99</v>
      </c>
      <c r="D14" s="11"/>
    </row>
    <row r="15" spans="1:5" ht="18" customHeight="1" x14ac:dyDescent="0.2">
      <c r="A15" s="1" t="s">
        <v>110</v>
      </c>
      <c r="B15" s="34">
        <f>Premissas!B76</f>
        <v>0.28999999999999998</v>
      </c>
      <c r="C15" s="10" t="s">
        <v>99</v>
      </c>
      <c r="D15" s="11"/>
    </row>
    <row r="16" spans="1:5" ht="18" customHeight="1" x14ac:dyDescent="0.2">
      <c r="A16" s="1" t="s">
        <v>49</v>
      </c>
      <c r="B16" s="33">
        <f>Premissas!B38</f>
        <v>0.91</v>
      </c>
      <c r="C16" s="10" t="s">
        <v>23</v>
      </c>
      <c r="D16" s="11"/>
    </row>
    <row r="17" spans="1:5" ht="18" customHeight="1" x14ac:dyDescent="0.2">
      <c r="A17" s="1" t="s">
        <v>106</v>
      </c>
      <c r="B17" s="20">
        <f>Premissas!B71</f>
        <v>500</v>
      </c>
      <c r="C17" s="10" t="s">
        <v>87</v>
      </c>
      <c r="D17" s="11"/>
    </row>
    <row r="18" spans="1:5" ht="18" customHeight="1" x14ac:dyDescent="0.2">
      <c r="A18" s="1" t="s">
        <v>191</v>
      </c>
      <c r="B18" s="14">
        <v>22</v>
      </c>
      <c r="C18" s="10" t="s">
        <v>162</v>
      </c>
      <c r="D18" s="11"/>
    </row>
    <row r="19" spans="1:5" ht="6" customHeight="1" x14ac:dyDescent="0.2"/>
    <row r="20" spans="1:5" ht="21.75" customHeight="1" x14ac:dyDescent="0.2">
      <c r="A20" s="83" t="s">
        <v>168</v>
      </c>
      <c r="B20" s="83"/>
      <c r="C20" s="83"/>
      <c r="D20" s="83"/>
      <c r="E20" s="83"/>
    </row>
    <row r="21" spans="1:5" ht="26" x14ac:dyDescent="0.2">
      <c r="A21" s="1" t="s">
        <v>192</v>
      </c>
      <c r="B21" s="36">
        <f>IFERROR(B7*B12,0)</f>
        <v>115.10400000000001</v>
      </c>
      <c r="C21" s="10" t="s">
        <v>170</v>
      </c>
      <c r="D21" s="11" t="s">
        <v>193</v>
      </c>
    </row>
    <row r="22" spans="1:5" ht="18" customHeight="1" x14ac:dyDescent="0.2">
      <c r="A22" s="1" t="s">
        <v>245</v>
      </c>
      <c r="B22" s="24">
        <f>IFERROR(MIN(B10*30,B17),0)</f>
        <v>353.80799999999999</v>
      </c>
      <c r="C22" s="10" t="s">
        <v>87</v>
      </c>
      <c r="D22" s="11" t="s">
        <v>246</v>
      </c>
    </row>
    <row r="23" spans="1:5" ht="26" x14ac:dyDescent="0.2">
      <c r="A23" s="1" t="s">
        <v>194</v>
      </c>
      <c r="B23" s="36">
        <f>IFERROR(B22*B11,0)</f>
        <v>495.33119999999997</v>
      </c>
      <c r="C23" s="10" t="s">
        <v>170</v>
      </c>
      <c r="D23" s="11" t="s">
        <v>195</v>
      </c>
    </row>
    <row r="24" spans="1:5" x14ac:dyDescent="0.2">
      <c r="A24" s="1" t="s">
        <v>196</v>
      </c>
      <c r="B24" s="36">
        <f>IFERROR(B9*B12,0)</f>
        <v>16.980479999999993</v>
      </c>
      <c r="C24" s="10" t="s">
        <v>170</v>
      </c>
      <c r="D24" s="11"/>
    </row>
    <row r="25" spans="1:5" ht="26" x14ac:dyDescent="0.2">
      <c r="A25" s="1" t="s">
        <v>197</v>
      </c>
      <c r="B25" s="36">
        <f>IFERROR(B9*B15,0)</f>
        <v>11.191679999999995</v>
      </c>
      <c r="C25" s="10" t="s">
        <v>170</v>
      </c>
      <c r="D25" s="11" t="s">
        <v>198</v>
      </c>
    </row>
    <row r="26" spans="1:5" ht="26" x14ac:dyDescent="0.2">
      <c r="A26" s="1" t="s">
        <v>199</v>
      </c>
      <c r="B26" s="36">
        <f>IFERROR(B9*B12*(Premissas!B75),0)</f>
        <v>3.0564863999999985</v>
      </c>
      <c r="C26" s="10" t="s">
        <v>170</v>
      </c>
      <c r="D26" s="11" t="s">
        <v>200</v>
      </c>
    </row>
    <row r="27" spans="1:5" ht="18" customHeight="1" x14ac:dyDescent="0.2">
      <c r="A27" s="1" t="s">
        <v>201</v>
      </c>
      <c r="B27" s="36">
        <f>IFERROR(B9*B14,0)</f>
        <v>4.6969287804878048</v>
      </c>
      <c r="C27" s="10" t="s">
        <v>170</v>
      </c>
      <c r="D27" s="11" t="s">
        <v>202</v>
      </c>
    </row>
    <row r="28" spans="1:5" ht="26" x14ac:dyDescent="0.2">
      <c r="A28" s="1" t="s">
        <v>243</v>
      </c>
      <c r="B28" s="24">
        <f>IFERROR(Premissas!B93,0)</f>
        <v>0</v>
      </c>
      <c r="C28" s="10" t="s">
        <v>87</v>
      </c>
      <c r="D28" s="11" t="s">
        <v>244</v>
      </c>
    </row>
    <row r="29" spans="1:5" ht="26" x14ac:dyDescent="0.2">
      <c r="A29" s="1" t="s">
        <v>203</v>
      </c>
      <c r="B29" s="36">
        <f>IFERROR(Premissas!B95*B12,0)</f>
        <v>0</v>
      </c>
      <c r="C29" s="10" t="s">
        <v>170</v>
      </c>
      <c r="D29" s="11" t="s">
        <v>253</v>
      </c>
    </row>
    <row r="30" spans="1:5" ht="26" x14ac:dyDescent="0.2">
      <c r="A30" s="1" t="s">
        <v>204</v>
      </c>
      <c r="B30" s="36">
        <f>IFERROR(B28*B11-B29,0)</f>
        <v>0</v>
      </c>
      <c r="C30" s="10" t="s">
        <v>170</v>
      </c>
      <c r="D30" s="11" t="s">
        <v>247</v>
      </c>
    </row>
    <row r="32" spans="1:5" x14ac:dyDescent="0.2">
      <c r="A32" s="9" t="s">
        <v>205</v>
      </c>
      <c r="B32" s="36">
        <f>IFERROR(B21+B23+B27+B30,0)</f>
        <v>615.13212878048785</v>
      </c>
      <c r="C32" s="10" t="s">
        <v>170</v>
      </c>
      <c r="D32" s="11"/>
    </row>
    <row r="34" spans="1:4" ht="21.75" customHeight="1" x14ac:dyDescent="0.2">
      <c r="A34" s="83" t="s">
        <v>177</v>
      </c>
      <c r="B34" s="83"/>
      <c r="C34" s="83"/>
      <c r="D34" s="83"/>
    </row>
    <row r="35" spans="1:4" ht="18" customHeight="1" x14ac:dyDescent="0.2">
      <c r="A35" s="1" t="s">
        <v>178</v>
      </c>
      <c r="B35" s="36">
        <f>B32</f>
        <v>615.13212878048785</v>
      </c>
      <c r="C35" s="10" t="s">
        <v>170</v>
      </c>
      <c r="D35" s="11"/>
    </row>
    <row r="36" spans="1:4" ht="18" customHeight="1" x14ac:dyDescent="0.2">
      <c r="A36" s="1" t="s">
        <v>179</v>
      </c>
      <c r="B36" s="27">
        <f>IFERROR(B35*12,0)</f>
        <v>7381.5855453658542</v>
      </c>
      <c r="C36" s="10" t="s">
        <v>180</v>
      </c>
      <c r="D36" s="11"/>
    </row>
    <row r="37" spans="1:4" ht="18" customHeight="1" x14ac:dyDescent="0.2">
      <c r="A37" s="1" t="s">
        <v>153</v>
      </c>
      <c r="B37" s="32">
        <f>Financeiro!B20</f>
        <v>36000</v>
      </c>
      <c r="C37" s="10" t="s">
        <v>121</v>
      </c>
      <c r="D37" s="11"/>
    </row>
    <row r="38" spans="1:4" ht="18" customHeight="1" x14ac:dyDescent="0.2">
      <c r="A38" s="1" t="s">
        <v>181</v>
      </c>
      <c r="B38" s="31">
        <f>IFERROR(Financeiro!B20/B36,0)</f>
        <v>4.8770009883040286</v>
      </c>
      <c r="C38" s="10" t="s">
        <v>132</v>
      </c>
      <c r="D38" s="11"/>
    </row>
  </sheetData>
  <mergeCells count="5">
    <mergeCell ref="A1:E1"/>
    <mergeCell ref="A2:E2"/>
    <mergeCell ref="A4:E4"/>
    <mergeCell ref="A20:E20"/>
    <mergeCell ref="A34:D3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31"/>
  <sheetViews>
    <sheetView zoomScale="130" zoomScaleNormal="130" workbookViewId="0">
      <pane xSplit="1" ySplit="3" topLeftCell="B9" activePane="bottomRight" state="frozen"/>
      <selection pane="topRight" activeCell="B1" sqref="B1"/>
      <selection pane="bottomLeft" activeCell="A5" sqref="A5"/>
      <selection pane="bottomRight" activeCell="A10" sqref="A10"/>
    </sheetView>
  </sheetViews>
  <sheetFormatPr baseColWidth="10" defaultColWidth="8.6640625" defaultRowHeight="15" x14ac:dyDescent="0.2"/>
  <cols>
    <col min="1" max="1" width="32" customWidth="1"/>
    <col min="2" max="2" width="13" bestFit="1" customWidth="1"/>
    <col min="3" max="4" width="16.5" bestFit="1" customWidth="1"/>
    <col min="5" max="27" width="11" customWidth="1"/>
  </cols>
  <sheetData>
    <row r="1" spans="1:27" ht="27.75" customHeight="1" x14ac:dyDescent="0.2">
      <c r="A1" s="84" t="s">
        <v>206</v>
      </c>
      <c r="B1" s="84"/>
      <c r="C1" s="84"/>
      <c r="D1" s="84"/>
      <c r="E1" s="84"/>
    </row>
    <row r="2" spans="1:27" ht="15.75" customHeight="1" x14ac:dyDescent="0.2">
      <c r="A2" s="85" t="s">
        <v>1</v>
      </c>
      <c r="B2" s="85"/>
      <c r="C2" s="85"/>
      <c r="D2" s="85"/>
      <c r="E2" s="85"/>
    </row>
    <row r="3" spans="1:27" x14ac:dyDescent="0.2">
      <c r="B3" s="75" t="s">
        <v>207</v>
      </c>
      <c r="C3" s="75" t="str">
        <f>IF(1&gt;VALUE(Financeiro!$B$23),"","Ano 1")</f>
        <v>Ano 1</v>
      </c>
      <c r="D3" s="75" t="str">
        <f>IF(2&gt;VALUE(Financeiro!$B$23),"","Ano 2")</f>
        <v>Ano 2</v>
      </c>
      <c r="E3" s="75" t="str">
        <f>IF(3&gt;VALUE(Financeiro!$B$23),"","Ano 3")</f>
        <v>Ano 3</v>
      </c>
      <c r="F3" s="75" t="str">
        <f>IF(4&gt;VALUE(Financeiro!$B$23),"","Ano 4")</f>
        <v>Ano 4</v>
      </c>
      <c r="G3" s="75" t="str">
        <f>IF(5&gt;VALUE(Financeiro!$B$23),"","Ano 5")</f>
        <v>Ano 5</v>
      </c>
      <c r="H3" s="75" t="str">
        <f>IF(6&gt;VALUE(Financeiro!$B$23),"","Ano 6")</f>
        <v>Ano 6</v>
      </c>
      <c r="I3" s="75" t="str">
        <f>IF(7&gt;VALUE(Financeiro!$B$23),"","Ano 7")</f>
        <v>Ano 7</v>
      </c>
      <c r="J3" s="75" t="str">
        <f>IF(8&gt;VALUE(Financeiro!$B$23),"","Ano 8")</f>
        <v>Ano 8</v>
      </c>
      <c r="K3" s="75" t="str">
        <f>IF(9&gt;VALUE(Financeiro!$B$23),"","Ano 9")</f>
        <v>Ano 9</v>
      </c>
      <c r="L3" s="75" t="str">
        <f>IF(10&gt;VALUE(Financeiro!$B$23),"","Ano 10")</f>
        <v>Ano 10</v>
      </c>
      <c r="M3" s="75" t="str">
        <f>IF(11&gt;VALUE(Financeiro!$B$23),"","Ano 11")</f>
        <v>Ano 11</v>
      </c>
      <c r="N3" s="75" t="str">
        <f>IF(12&gt;VALUE(Financeiro!$B$23),"","Ano 12")</f>
        <v>Ano 12</v>
      </c>
      <c r="O3" s="75" t="str">
        <f>IF(13&gt;VALUE(Financeiro!$B$23),"","Ano 13")</f>
        <v>Ano 13</v>
      </c>
      <c r="P3" s="75" t="str">
        <f>IF(14&gt;VALUE(Financeiro!$B$23),"","Ano 14")</f>
        <v>Ano 14</v>
      </c>
      <c r="Q3" s="75" t="str">
        <f>IF(15&gt;VALUE(Financeiro!$B$23),"","Ano 15")</f>
        <v>Ano 15</v>
      </c>
      <c r="R3" s="75" t="str">
        <f>IF(16&gt;VALUE(Financeiro!$B$23),"","Ano 16")</f>
        <v>Ano 16</v>
      </c>
      <c r="S3" s="75" t="str">
        <f>IF(17&gt;VALUE(Financeiro!$B$23),"","Ano 17")</f>
        <v>Ano 17</v>
      </c>
      <c r="T3" s="75" t="str">
        <f>IF(18&gt;VALUE(Financeiro!$B$23),"","Ano 18")</f>
        <v>Ano 18</v>
      </c>
      <c r="U3" s="75" t="str">
        <f>IF(19&gt;VALUE(Financeiro!$B$23),"","Ano 19")</f>
        <v>Ano 19</v>
      </c>
      <c r="V3" s="75" t="str">
        <f>IF(20&gt;VALUE(Financeiro!$B$23),"","Ano 20")</f>
        <v>Ano 20</v>
      </c>
      <c r="W3" s="75" t="str">
        <f>IF(21&gt;VALUE(Financeiro!$B$23),"","Ano 21")</f>
        <v>Ano 21</v>
      </c>
      <c r="X3" s="75" t="str">
        <f>IF(22&gt;VALUE(Financeiro!$B$23),"","Ano 22")</f>
        <v>Ano 22</v>
      </c>
      <c r="Y3" s="75" t="str">
        <f>IF(23&gt;VALUE(Financeiro!$B$23),"","Ano 23")</f>
        <v>Ano 23</v>
      </c>
      <c r="Z3" s="75" t="str">
        <f>IF(24&gt;VALUE(Financeiro!$B$23),"","Ano 24")</f>
        <v>Ano 24</v>
      </c>
      <c r="AA3" s="75" t="str">
        <f>IF(25&gt;VALUE(Financeiro!$B$23),"","Ano 25")</f>
        <v/>
      </c>
    </row>
    <row r="4" spans="1:27" ht="19.5" customHeight="1" x14ac:dyDescent="0.2">
      <c r="A4" s="83" t="s">
        <v>211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</row>
    <row r="5" spans="1:27" ht="18" customHeight="1" x14ac:dyDescent="0.2">
      <c r="A5" s="1" t="s">
        <v>208</v>
      </c>
      <c r="B5" s="39">
        <f>-Financeiro!B20</f>
        <v>-36000</v>
      </c>
      <c r="C5" s="39">
        <v>0</v>
      </c>
      <c r="D5" s="39">
        <v>0</v>
      </c>
      <c r="E5" s="39">
        <v>0</v>
      </c>
      <c r="F5" s="39">
        <v>0</v>
      </c>
      <c r="G5" s="39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39">
        <v>0</v>
      </c>
      <c r="U5" s="39">
        <v>0</v>
      </c>
      <c r="V5" s="39">
        <v>0</v>
      </c>
      <c r="W5" s="39">
        <v>0</v>
      </c>
      <c r="X5" s="39">
        <v>0</v>
      </c>
      <c r="Y5" s="39">
        <v>0</v>
      </c>
      <c r="Z5" s="39">
        <v>0</v>
      </c>
      <c r="AA5" s="39">
        <v>0</v>
      </c>
    </row>
    <row r="6" spans="1:27" ht="18" customHeight="1" x14ac:dyDescent="0.2">
      <c r="A6" s="1" t="s">
        <v>212</v>
      </c>
      <c r="B6" s="39">
        <v>0</v>
      </c>
      <c r="C6" s="39">
        <f>IF(1&gt;VALUE(Financeiro!$B$23),"",IFERROR('C2 — Arbitragem'!B31*(1+Financeiro!B24)^1,0))</f>
        <v>4280.2214400000003</v>
      </c>
      <c r="D6" s="39">
        <f>IF(2&gt;VALUE(Financeiro!$B$23),"",IFERROR('C2 — Arbitragem'!B31*(1+Financeiro!B24)^2,0))</f>
        <v>4708.2435839999998</v>
      </c>
      <c r="E6" s="39">
        <f>IF(3&gt;VALUE(Financeiro!$B$23),"",IFERROR('C2 — Arbitragem'!B31*(1+Financeiro!B24)^3,0))</f>
        <v>5179.0679424000009</v>
      </c>
      <c r="F6" s="39">
        <f>IF(4&gt;VALUE(Financeiro!$B$23),"",IFERROR('C2 — Arbitragem'!B31*(1+Financeiro!B24)^4,0))</f>
        <v>5696.9747366400006</v>
      </c>
      <c r="G6" s="39">
        <f>IF(5&gt;VALUE(Financeiro!$B$23),"",IFERROR('C2 — Arbitragem'!B31*(1+Financeiro!B24)^5,0))</f>
        <v>6266.6722103040011</v>
      </c>
      <c r="H6" s="39">
        <f>IF(6&gt;VALUE(Financeiro!$B$23),"",IFERROR('C2 — Arbitragem'!B31*(1+Financeiro!B24)^6,0))</f>
        <v>6893.3394313344024</v>
      </c>
      <c r="I6" s="39">
        <f>IF(7&gt;VALUE(Financeiro!$B$23),"",IFERROR('C2 — Arbitragem'!B31*(1+Financeiro!B24)^7,0))</f>
        <v>7582.673374467844</v>
      </c>
      <c r="J6" s="39">
        <f>IF(8&gt;VALUE(Financeiro!$B$23),"",IFERROR('C2 — Arbitragem'!B31*(1+Financeiro!B24)^8,0))</f>
        <v>8340.9407119146272</v>
      </c>
      <c r="K6" s="39">
        <f>IF(9&gt;VALUE(Financeiro!$B$23),"",IFERROR('C2 — Arbitragem'!B31*(1+Financeiro!B24)^9,0))</f>
        <v>9175.0347831060917</v>
      </c>
      <c r="L6" s="39">
        <f>IF(10&gt;VALUE(Financeiro!$B$23),"",IFERROR('C2 — Arbitragem'!B31*(1+Financeiro!B24)^10,0))</f>
        <v>10092.538261416701</v>
      </c>
      <c r="M6" s="39">
        <f>IF(11&gt;VALUE(Financeiro!$B$23),"",IFERROR('C2 — Arbitragem'!B31*(1+Financeiro!B24)^11,0))</f>
        <v>11101.792087558373</v>
      </c>
      <c r="N6" s="39">
        <f>IF(12&gt;VALUE(Financeiro!$B$23),"",IFERROR('C2 — Arbitragem'!B31*(1+Financeiro!B24)^12,0))</f>
        <v>12211.97129631421</v>
      </c>
      <c r="O6" s="39">
        <f>IF(13&gt;VALUE(Financeiro!$B$23),"",IFERROR('C2 — Arbitragem'!B31*(1+Financeiro!B24)^13,0))</f>
        <v>13433.168425945631</v>
      </c>
      <c r="P6" s="39">
        <f>IF(14&gt;VALUE(Financeiro!$B$23),"",IFERROR('C2 — Arbitragem'!B31*(1+Financeiro!B24)^14,0))</f>
        <v>14776.485268540197</v>
      </c>
      <c r="Q6" s="39">
        <f>IF(15&gt;VALUE(Financeiro!$B$23),"",IFERROR('C2 — Arbitragem'!B31*(1+Financeiro!B24)^15,0))</f>
        <v>16254.133795394217</v>
      </c>
      <c r="R6" s="39">
        <f>IF(16&gt;VALUE(Financeiro!$B$23),"",IFERROR('C2 — Arbitragem'!B31*(1+Financeiro!B24)^16,0))</f>
        <v>17879.547174933639</v>
      </c>
      <c r="S6" s="39">
        <f>IF(17&gt;VALUE(Financeiro!$B$23),"",IFERROR('C2 — Arbitragem'!B31*(1+Financeiro!B24)^17,0))</f>
        <v>19667.501892427004</v>
      </c>
      <c r="T6" s="39">
        <f>IF(18&gt;VALUE(Financeiro!$B$23),"",IFERROR('C2 — Arbitragem'!B31*(1+Financeiro!B24)^18,0))</f>
        <v>21634.252081669703</v>
      </c>
      <c r="U6" s="39">
        <f>IF(19&gt;VALUE(Financeiro!$B$23),"",IFERROR('C2 — Arbitragem'!B31*(1+Financeiro!B24)^19,0))</f>
        <v>23797.67728983668</v>
      </c>
      <c r="V6" s="39">
        <f>IF(20&gt;VALUE(Financeiro!$B$23),"",IFERROR('C2 — Arbitragem'!B31*(1+Financeiro!B24)^20,0))</f>
        <v>26177.445018820348</v>
      </c>
      <c r="W6" s="39">
        <f>IF(21&gt;VALUE(Financeiro!$B$23),"",IFERROR('C2 — Arbitragem'!B31*(1+Financeiro!B24)^21,0))</f>
        <v>28795.189520702384</v>
      </c>
      <c r="X6" s="39">
        <f>IF(22&gt;VALUE(Financeiro!$B$23),"",IFERROR('C2 — Arbitragem'!B31*(1+Financeiro!B24)^22,0))</f>
        <v>31674.708472772629</v>
      </c>
      <c r="Y6" s="39">
        <f>IF(23&gt;VALUE(Financeiro!$B$23),"",IFERROR('C2 — Arbitragem'!B31*(1+Financeiro!B24)^23,0))</f>
        <v>34842.179320049894</v>
      </c>
      <c r="Z6" s="39">
        <f>IF(24&gt;VALUE(Financeiro!$B$23),"",IFERROR('C2 — Arbitragem'!B31*(1+Financeiro!B24)^24,0))</f>
        <v>38326.397252054878</v>
      </c>
      <c r="AA6" s="39" t="str">
        <f>IF(25&gt;VALUE(Financeiro!$B$23),"",IFERROR('C2 — Arbitragem'!B31*(1+Financeiro!B24)^25,0))</f>
        <v/>
      </c>
    </row>
    <row r="7" spans="1:27" ht="18" customHeight="1" x14ac:dyDescent="0.2">
      <c r="A7" s="1" t="s">
        <v>209</v>
      </c>
      <c r="B7" s="39">
        <v>0</v>
      </c>
      <c r="C7" s="39">
        <f>IF(1&gt;VALUE(Financeiro!$B$23),"",IFERROR(-Financeiro!B20*(Financeiro!B26)*(1+Financeiro!B30)^1,0))</f>
        <v>-187.20000000000002</v>
      </c>
      <c r="D7" s="39">
        <f>IF(2&gt;VALUE(Financeiro!$B$23),"",IFERROR(-Financeiro!B20*(Financeiro!B26)*(1+Financeiro!B30)^2,0))</f>
        <v>-194.68800000000002</v>
      </c>
      <c r="E7" s="39">
        <f>IF(3&gt;VALUE(Financeiro!$B$23),"",IFERROR(-Financeiro!B20*(Financeiro!B26)*(1+Financeiro!B30)^3,0))</f>
        <v>-202.47552000000002</v>
      </c>
      <c r="F7" s="39">
        <f>IF(4&gt;VALUE(Financeiro!$B$23),"",IFERROR(-Financeiro!B20*(Financeiro!B26)*(1+Financeiro!B30)^4,0))</f>
        <v>-210.57454080000005</v>
      </c>
      <c r="G7" s="39">
        <f>IF(5&gt;VALUE(Financeiro!$B$23),"",IFERROR(-Financeiro!B20*(Financeiro!B26)*(1+Financeiro!B30)^5,0))</f>
        <v>-218.99752243200007</v>
      </c>
      <c r="H7" s="39">
        <f>IF(6&gt;VALUE(Financeiro!$B$23),"",IFERROR(-Financeiro!B20*(Financeiro!B26)*(1+Financeiro!B30)^6,0))</f>
        <v>-227.75742332928007</v>
      </c>
      <c r="I7" s="39">
        <f>IF(7&gt;VALUE(Financeiro!$B$23),"",IFERROR(-Financeiro!B20*(Financeiro!B26)*(1+Financeiro!B30)^7,0))</f>
        <v>-236.86772026245126</v>
      </c>
      <c r="J7" s="39">
        <f>IF(8&gt;VALUE(Financeiro!$B$23),"",IFERROR(-Financeiro!B20*(Financeiro!B26)*(1+Financeiro!B30)^8,0))</f>
        <v>-246.34242907294933</v>
      </c>
      <c r="K7" s="39">
        <f>IF(9&gt;VALUE(Financeiro!$B$23),"",IFERROR(-Financeiro!B20*(Financeiro!B26)*(1+Financeiro!B30)^9,0))</f>
        <v>-256.19612623586733</v>
      </c>
      <c r="L7" s="39">
        <f>IF(10&gt;VALUE(Financeiro!$B$23),"",IFERROR(-Financeiro!B20*(Financeiro!B26)*(1+Financeiro!B30)^10,0))</f>
        <v>-266.44397128530204</v>
      </c>
      <c r="M7" s="39">
        <f>IF(11&gt;VALUE(Financeiro!$B$23),"",IFERROR(-Financeiro!B20*(Financeiro!B26)*(1+Financeiro!B30)^11,0))</f>
        <v>-277.10173013671408</v>
      </c>
      <c r="N7" s="39">
        <f>IF(12&gt;VALUE(Financeiro!$B$23),"",IFERROR(-Financeiro!B20*(Financeiro!B26)*(1+Financeiro!B30)^12,0))</f>
        <v>-288.18579934218269</v>
      </c>
      <c r="O7" s="39">
        <f>IF(13&gt;VALUE(Financeiro!$B$23),"",IFERROR(-Financeiro!B20*(Financeiro!B26)*(1+Financeiro!B30)^13,0))</f>
        <v>-299.71323131587002</v>
      </c>
      <c r="P7" s="39">
        <f>IF(14&gt;VALUE(Financeiro!$B$23),"",IFERROR(-Financeiro!B20*(Financeiro!B26)*(1+Financeiro!B30)^14,0))</f>
        <v>-311.70176056850482</v>
      </c>
      <c r="Q7" s="39">
        <f>IF(15&gt;VALUE(Financeiro!$B$23),"",IFERROR(-Financeiro!B20*(Financeiro!B26)*(1+Financeiro!B30)^15,0))</f>
        <v>-324.16983099124502</v>
      </c>
      <c r="R7" s="39">
        <f>IF(16&gt;VALUE(Financeiro!$B$23),"",IFERROR(-Financeiro!B20*(Financeiro!B26)*(1+Financeiro!B30)^16,0))</f>
        <v>-337.13662423089488</v>
      </c>
      <c r="S7" s="39">
        <f>IF(17&gt;VALUE(Financeiro!$B$23),"",IFERROR(-Financeiro!B20*(Financeiro!B26)*(1+Financeiro!B30)^17,0))</f>
        <v>-350.62208920013069</v>
      </c>
      <c r="T7" s="39">
        <f>IF(18&gt;VALUE(Financeiro!$B$23),"",IFERROR(-Financeiro!B20*(Financeiro!B26)*(1+Financeiro!B30)^18,0))</f>
        <v>-364.64697276813592</v>
      </c>
      <c r="U7" s="39">
        <f>IF(19&gt;VALUE(Financeiro!$B$23),"",IFERROR(-Financeiro!B20*(Financeiro!B26)*(1+Financeiro!B30)^19,0))</f>
        <v>-379.23285167886138</v>
      </c>
      <c r="V7" s="39">
        <f>IF(20&gt;VALUE(Financeiro!$B$23),"",IFERROR(-Financeiro!B20*(Financeiro!B26)*(1+Financeiro!B30)^20,0))</f>
        <v>-394.40216574601584</v>
      </c>
      <c r="W7" s="39">
        <f>IF(21&gt;VALUE(Financeiro!$B$23),"",IFERROR(-Financeiro!B20*(Financeiro!B26)*(1+Financeiro!B30)^21,0))</f>
        <v>-410.17825237585657</v>
      </c>
      <c r="X7" s="39">
        <f>IF(22&gt;VALUE(Financeiro!$B$23),"",IFERROR(-Financeiro!B20*(Financeiro!B26)*(1+Financeiro!B30)^22,0))</f>
        <v>-426.58538247089081</v>
      </c>
      <c r="Y7" s="39">
        <f>IF(23&gt;VALUE(Financeiro!$B$23),"",IFERROR(-Financeiro!B20*(Financeiro!B26)*(1+Financeiro!B30)^23,0))</f>
        <v>-443.6487977697264</v>
      </c>
      <c r="Z7" s="39">
        <f>IF(24&gt;VALUE(Financeiro!$B$23),"",IFERROR(-Financeiro!B20*(Financeiro!B26)*(1+Financeiro!B30)^24,0))</f>
        <v>-461.39474968051547</v>
      </c>
      <c r="AA7" s="39" t="str">
        <f>IF(25&gt;VALUE(Financeiro!$B$23),"",IFERROR(-Financeiro!B20*(Financeiro!B26)*(1+Financeiro!B30)^25,0))</f>
        <v/>
      </c>
    </row>
    <row r="8" spans="1:27" ht="18" customHeight="1" x14ac:dyDescent="0.2">
      <c r="A8" s="9" t="s">
        <v>210</v>
      </c>
      <c r="B8" s="38">
        <f>-Financeiro!B20</f>
        <v>-36000</v>
      </c>
      <c r="C8" s="38">
        <f>IF(1&gt;VALUE(Financeiro!$B$23),"",IFERROR(C6+C7,0))</f>
        <v>4093.0214400000004</v>
      </c>
      <c r="D8" s="38">
        <f>IF(2&gt;VALUE(Financeiro!$B$23),"",IFERROR(D6+D7,0))</f>
        <v>4513.5555839999997</v>
      </c>
      <c r="E8" s="38">
        <f>IF(3&gt;VALUE(Financeiro!$B$23),"",IFERROR(E6+E7,0))</f>
        <v>4976.5924224000009</v>
      </c>
      <c r="F8" s="38">
        <f>IF(4&gt;VALUE(Financeiro!$B$23),"",IFERROR(F6+F7,0))</f>
        <v>5486.4001958400004</v>
      </c>
      <c r="G8" s="38">
        <f>IF(5&gt;VALUE(Financeiro!$B$23),"",IFERROR(G6+G7,0))</f>
        <v>6047.6746878720014</v>
      </c>
      <c r="H8" s="38">
        <f>IF(6&gt;VALUE(Financeiro!$B$23),"",IFERROR(H6+H7,0))</f>
        <v>6665.5820080051226</v>
      </c>
      <c r="I8" s="38">
        <f>IF(7&gt;VALUE(Financeiro!$B$23),"",IFERROR(I6+I7,0))</f>
        <v>7345.8056542053928</v>
      </c>
      <c r="J8" s="38">
        <f>IF(8&gt;VALUE(Financeiro!$B$23),"",IFERROR(J6+J7,0))</f>
        <v>8094.5982828416782</v>
      </c>
      <c r="K8" s="38">
        <f>IF(9&gt;VALUE(Financeiro!$B$23),"",IFERROR(K6+K7,0))</f>
        <v>8918.8386568702244</v>
      </c>
      <c r="L8" s="38">
        <f>IF(10&gt;VALUE(Financeiro!$B$23),"",IFERROR(L6+L7,0))</f>
        <v>9826.0942901313992</v>
      </c>
      <c r="M8" s="38">
        <f>IF(11&gt;VALUE(Financeiro!$B$23),"",IFERROR(M6+M7,0))</f>
        <v>10824.690357421659</v>
      </c>
      <c r="N8" s="38">
        <f>IF(12&gt;VALUE(Financeiro!$B$23),"",IFERROR(N6+N7,0))</f>
        <v>11923.785496972028</v>
      </c>
      <c r="O8" s="38">
        <f>IF(13&gt;VALUE(Financeiro!$B$23),"",IFERROR(O6+O7,0))</f>
        <v>13133.45519462976</v>
      </c>
      <c r="P8" s="38">
        <f>IF(14&gt;VALUE(Financeiro!$B$23),"",IFERROR(P6+P7,0))</f>
        <v>14464.783507971692</v>
      </c>
      <c r="Q8" s="38">
        <f>IF(15&gt;VALUE(Financeiro!$B$23),"",IFERROR(Q6+Q7,0))</f>
        <v>15929.963964402972</v>
      </c>
      <c r="R8" s="38">
        <f>IF(16&gt;VALUE(Financeiro!$B$23),"",IFERROR(R6+R7,0))</f>
        <v>17542.410550702745</v>
      </c>
      <c r="S8" s="38">
        <f>IF(17&gt;VALUE(Financeiro!$B$23),"",IFERROR(S6+S7,0))</f>
        <v>19316.879803226875</v>
      </c>
      <c r="T8" s="38">
        <f>IF(18&gt;VALUE(Financeiro!$B$23),"",IFERROR(T6+T7,0))</f>
        <v>21269.605108901567</v>
      </c>
      <c r="U8" s="38">
        <f>IF(19&gt;VALUE(Financeiro!$B$23),"",IFERROR(U6+U7,0))</f>
        <v>23418.444438157818</v>
      </c>
      <c r="V8" s="38">
        <f>IF(20&gt;VALUE(Financeiro!$B$23),"",IFERROR(V6+V7,0))</f>
        <v>25783.042853074334</v>
      </c>
      <c r="W8" s="38">
        <f>IF(21&gt;VALUE(Financeiro!$B$23),"",IFERROR(W6+W7,0))</f>
        <v>28385.011268326529</v>
      </c>
      <c r="X8" s="38">
        <f>IF(22&gt;VALUE(Financeiro!$B$23),"",IFERROR(X6+X7,0))</f>
        <v>31248.123090301739</v>
      </c>
      <c r="Y8" s="38">
        <f>IF(23&gt;VALUE(Financeiro!$B$23),"",IFERROR(Y6+Y7,0))</f>
        <v>34398.530522280169</v>
      </c>
      <c r="Z8" s="38">
        <f>IF(24&gt;VALUE(Financeiro!$B$23),"",IFERROR(Z6+Z7,0))</f>
        <v>37865.002502374366</v>
      </c>
      <c r="AA8" s="38" t="str">
        <f>IF(25&gt;VALUE(Financeiro!$B$23),"",IFERROR(AA6+AA7,0))</f>
        <v/>
      </c>
    </row>
    <row r="9" spans="1:27" ht="18" customHeight="1" x14ac:dyDescent="0.2">
      <c r="A9" s="9" t="s">
        <v>213</v>
      </c>
      <c r="B9" s="38">
        <f>-Financeiro!B20</f>
        <v>-36000</v>
      </c>
      <c r="C9" s="38">
        <f>IF(1&gt;VALUE(Financeiro!$B$23),"",IFERROR(B9+C8,0))</f>
        <v>-31906.97856</v>
      </c>
      <c r="D9" s="38">
        <f>IF(2&gt;VALUE(Financeiro!$B$23),"",IFERROR(C9+D8,0))</f>
        <v>-27393.422976000002</v>
      </c>
      <c r="E9" s="38">
        <f>IF(3&gt;VALUE(Financeiro!$B$23),"",IFERROR(D9+E8,0))</f>
        <v>-22416.830553600001</v>
      </c>
      <c r="F9" s="38">
        <f>IF(4&gt;VALUE(Financeiro!$B$23),"",IFERROR(E9+F8,0))</f>
        <v>-16930.43035776</v>
      </c>
      <c r="G9" s="38">
        <f>IF(5&gt;VALUE(Financeiro!$B$23),"",IFERROR(F9+G8,0))</f>
        <v>-10882.755669888</v>
      </c>
      <c r="H9" s="38">
        <f>IF(6&gt;VALUE(Financeiro!$B$23),"",IFERROR(G9+H8,0))</f>
        <v>-4217.1736618828772</v>
      </c>
      <c r="I9" s="38">
        <f>IF(7&gt;VALUE(Financeiro!$B$23),"",IFERROR(H9+I8,0))</f>
        <v>3128.6319923225155</v>
      </c>
      <c r="J9" s="38">
        <f>IF(8&gt;VALUE(Financeiro!$B$23),"",IFERROR(I9+J8,0))</f>
        <v>11223.230275164195</v>
      </c>
      <c r="K9" s="38">
        <f>IF(9&gt;VALUE(Financeiro!$B$23),"",IFERROR(J9+K8,0))</f>
        <v>20142.068932034417</v>
      </c>
      <c r="L9" s="38">
        <f>IF(10&gt;VALUE(Financeiro!$B$23),"",IFERROR(K9+L8,0))</f>
        <v>29968.163222165815</v>
      </c>
      <c r="M9" s="38">
        <f>IF(11&gt;VALUE(Financeiro!$B$23),"",IFERROR(L9+M8,0))</f>
        <v>40792.853579587478</v>
      </c>
      <c r="N9" s="38">
        <f>IF(12&gt;VALUE(Financeiro!$B$23),"",IFERROR(M9+N8,0))</f>
        <v>52716.639076559506</v>
      </c>
      <c r="O9" s="38">
        <f>IF(13&gt;VALUE(Financeiro!$B$23),"",IFERROR(N9+O8,0))</f>
        <v>65850.094271189271</v>
      </c>
      <c r="P9" s="38">
        <f>IF(14&gt;VALUE(Financeiro!$B$23),"",IFERROR(O9+P8,0))</f>
        <v>80314.877779160961</v>
      </c>
      <c r="Q9" s="38">
        <f>IF(15&gt;VALUE(Financeiro!$B$23),"",IFERROR(P9+Q8,0))</f>
        <v>96244.841743563928</v>
      </c>
      <c r="R9" s="38">
        <f>IF(16&gt;VALUE(Financeiro!$B$23),"",IFERROR(Q9+R8,0))</f>
        <v>113787.25229426667</v>
      </c>
      <c r="S9" s="38">
        <f>IF(17&gt;VALUE(Financeiro!$B$23),"",IFERROR(R9+S8,0))</f>
        <v>133104.13209749354</v>
      </c>
      <c r="T9" s="38">
        <f>IF(18&gt;VALUE(Financeiro!$B$23),"",IFERROR(S9+T8,0))</f>
        <v>154373.7372063951</v>
      </c>
      <c r="U9" s="38">
        <f>IF(19&gt;VALUE(Financeiro!$B$23),"",IFERROR(T9+U8,0))</f>
        <v>177792.18164455291</v>
      </c>
      <c r="V9" s="38">
        <f>IF(20&gt;VALUE(Financeiro!$B$23),"",IFERROR(U9+V8,0))</f>
        <v>203575.22449762723</v>
      </c>
      <c r="W9" s="38">
        <f>IF(21&gt;VALUE(Financeiro!$B$23),"",IFERROR(V9+W8,0))</f>
        <v>231960.23576595375</v>
      </c>
      <c r="X9" s="38">
        <f>IF(22&gt;VALUE(Financeiro!$B$23),"",IFERROR(W9+X8,0))</f>
        <v>263208.35885625548</v>
      </c>
      <c r="Y9" s="38">
        <f>IF(23&gt;VALUE(Financeiro!$B$23),"",IFERROR(X9+Y8,0))</f>
        <v>297606.88937853568</v>
      </c>
      <c r="Z9" s="38">
        <f>IF(24&gt;VALUE(Financeiro!$B$23),"",IFERROR(Y9+Z8,0))</f>
        <v>335471.89188091003</v>
      </c>
      <c r="AA9" s="38" t="str">
        <f>IF(25&gt;VALUE(Financeiro!$B$23),"",IFERROR(Z9+AA8,0))</f>
        <v/>
      </c>
    </row>
    <row r="10" spans="1:27" ht="18" customHeight="1" x14ac:dyDescent="0.2">
      <c r="A10" s="1" t="s">
        <v>214</v>
      </c>
      <c r="B10" s="39">
        <f>-Financeiro!B20</f>
        <v>-36000</v>
      </c>
      <c r="C10" s="39">
        <f>IF(1&gt;VALUE(Financeiro!$B$23),"",IFERROR(C8/(1+Financeiro!B25)^1,0))</f>
        <v>3654.4834285714287</v>
      </c>
      <c r="D10" s="39">
        <f>IF(2&gt;VALUE(Financeiro!$B$23),"",IFERROR(D8/(1+Financeiro!B25)^2,0))</f>
        <v>3598.1788775510195</v>
      </c>
      <c r="E10" s="39">
        <f>IF(3&gt;VALUE(Financeiro!$B$23),"",IFERROR(E8/(1+Financeiro!B25)^3,0))</f>
        <v>3542.2401876822155</v>
      </c>
      <c r="F10" s="39">
        <f>IF(4&gt;VALUE(Financeiro!$B$23),"",IFERROR(F8/(1+Financeiro!B25)^4,0))</f>
        <v>3486.7065098201265</v>
      </c>
      <c r="G10" s="39">
        <f>IF(5&gt;VALUE(Financeiro!$B$23),"",IFERROR(G8/(1+Financeiro!B25)^5,0))</f>
        <v>3431.6130325481708</v>
      </c>
      <c r="H10" s="39">
        <f>IF(6&gt;VALUE(Financeiro!$B$23),"",IFERROR(H8/(1+Financeiro!B25)^6,0))</f>
        <v>3376.9912860150116</v>
      </c>
      <c r="I10" s="39">
        <f>IF(7&gt;VALUE(Financeiro!$B$23),"",IFERROR(I8/(1+Financeiro!B25)^7,0))</f>
        <v>3322.8694236971246</v>
      </c>
      <c r="J10" s="39">
        <f>IF(8&gt;VALUE(Financeiro!$B$23),"",IFERROR(J8/(1+Financeiro!B25)^8,0))</f>
        <v>3269.2724836703551</v>
      </c>
      <c r="K10" s="39">
        <f>IF(9&gt;VALUE(Financeiro!$B$23),"",IFERROR(K8/(1+Financeiro!B25)^9,0))</f>
        <v>3216.2226308606491</v>
      </c>
      <c r="L10" s="39">
        <f>IF(10&gt;VALUE(Financeiro!$B$23),"",IFERROR(L8/(1+Financeiro!B25)^10,0))</f>
        <v>3163.739381638964</v>
      </c>
      <c r="M10" s="39">
        <f>IF(11&gt;VALUE(Financeiro!$B$23),"",IFERROR(M8/(1+Financeiro!B25)^11,0))</f>
        <v>3111.8398120278116</v>
      </c>
      <c r="N10" s="39">
        <f>IF(12&gt;VALUE(Financeiro!$B$23),"",IFERROR(N8/(1+Financeiro!B25)^12,0))</f>
        <v>3060.538750696177</v>
      </c>
      <c r="O10" s="39">
        <f>IF(13&gt;VALUE(Financeiro!$B$23),"",IFERROR(O8/(1+Financeiro!B25)^13,0))</f>
        <v>3009.848957835442</v>
      </c>
      <c r="P10" s="39">
        <f>IF(14&gt;VALUE(Financeiro!$B$23),"",IFERROR(P8/(1+Financeiro!B25)^14,0))</f>
        <v>2959.781290930774</v>
      </c>
      <c r="Q10" s="39">
        <f>IF(15&gt;VALUE(Financeiro!$B$23),"",IFERROR(Q8/(1+Financeiro!B25)^15,0))</f>
        <v>2910.344858369845</v>
      </c>
      <c r="R10" s="39">
        <f>IF(16&gt;VALUE(Financeiro!$B$23),"",IFERROR(R8/(1+Financeiro!B25)^16,0))</f>
        <v>2861.5471617634234</v>
      </c>
      <c r="S10" s="39">
        <f>IF(17&gt;VALUE(Financeiro!$B$23),"",IFERROR(S8/(1+Financeiro!B25)^17,0))</f>
        <v>2813.3942277897568</v>
      </c>
      <c r="T10" s="39">
        <f>IF(18&gt;VALUE(Financeiro!$B$23),"",IFERROR(T8/(1+Financeiro!B25)^18,0))</f>
        <v>2765.8907303165906</v>
      </c>
      <c r="U10" s="39">
        <f>IF(19&gt;VALUE(Financeiro!$B$23),"",IFERROR(U8/(1+Financeiro!B25)^19,0))</f>
        <v>2719.0401035007367</v>
      </c>
      <c r="V10" s="39">
        <f>IF(20&gt;VALUE(Financeiro!$B$23),"",IFERROR(V8/(1+Financeiro!B25)^20,0))</f>
        <v>2672.8446465149764</v>
      </c>
      <c r="W10" s="39">
        <f>IF(21&gt;VALUE(Financeiro!$B$23),"",IFERROR(W8/(1+Financeiro!B25)^21,0))</f>
        <v>2627.3056205056218</v>
      </c>
      <c r="X10" s="39">
        <f>IF(22&gt;VALUE(Financeiro!$B$23),"",IFERROR(X8/(1+Financeiro!B25)^22,0))</f>
        <v>2582.4233383408332</v>
      </c>
      <c r="Y10" s="39">
        <f>IF(23&gt;VALUE(Financeiro!$B$23),"",IFERROR(Y8/(1+Financeiro!B25)^23,0))</f>
        <v>2538.1972476697056</v>
      </c>
      <c r="Z10" s="39">
        <f>IF(24&gt;VALUE(Financeiro!$B$23),"",IFERROR(Z8/(1+Financeiro!B25)^24,0))</f>
        <v>2494.6260077749007</v>
      </c>
      <c r="AA10" s="39" t="str">
        <f>IF(25&gt;VALUE(Financeiro!$B$23),"",IFERROR(AA8/(1+Financeiro!B25)^25,0))</f>
        <v/>
      </c>
    </row>
    <row r="11" spans="1:27" ht="18" customHeight="1" x14ac:dyDescent="0.2">
      <c r="A11" s="1" t="s">
        <v>215</v>
      </c>
      <c r="B11" s="39">
        <f>-Financeiro!B20</f>
        <v>-36000</v>
      </c>
      <c r="C11" s="39">
        <f>IF(1&gt;VALUE(Financeiro!$B$23),"",IFERROR(B11+C10,0))</f>
        <v>-32345.516571428572</v>
      </c>
      <c r="D11" s="39">
        <f>IF(2&gt;VALUE(Financeiro!$B$23),"",IFERROR(C11+D10,0))</f>
        <v>-28747.337693877555</v>
      </c>
      <c r="E11" s="39">
        <f>IF(3&gt;VALUE(Financeiro!$B$23),"",IFERROR(D11+E10,0))</f>
        <v>-25205.09750619534</v>
      </c>
      <c r="F11" s="39">
        <f>IF(4&gt;VALUE(Financeiro!$B$23),"",IFERROR(E11+F10,0))</f>
        <v>-21718.390996375212</v>
      </c>
      <c r="G11" s="39">
        <f>IF(5&gt;VALUE(Financeiro!$B$23),"",IFERROR(F11+G10,0))</f>
        <v>-18286.77796382704</v>
      </c>
      <c r="H11" s="39">
        <f>IF(6&gt;VALUE(Financeiro!$B$23),"",IFERROR(G11+H10,0))</f>
        <v>-14909.78667781203</v>
      </c>
      <c r="I11" s="39">
        <f>IF(7&gt;VALUE(Financeiro!$B$23),"",IFERROR(H11+I10,0))</f>
        <v>-11586.917254114906</v>
      </c>
      <c r="J11" s="39">
        <f>IF(8&gt;VALUE(Financeiro!$B$23),"",IFERROR(I11+J10,0))</f>
        <v>-8317.6447704445509</v>
      </c>
      <c r="K11" s="39">
        <f>IF(9&gt;VALUE(Financeiro!$B$23),"",IFERROR(J11+K10,0))</f>
        <v>-5101.4221395839013</v>
      </c>
      <c r="L11" s="39">
        <f>IF(10&gt;VALUE(Financeiro!$B$23),"",IFERROR(K11+L10,0))</f>
        <v>-1937.6827579449373</v>
      </c>
      <c r="M11" s="39">
        <f>IF(11&gt;VALUE(Financeiro!$B$23),"",IFERROR(L11+M10,0))</f>
        <v>1174.1570540828743</v>
      </c>
      <c r="N11" s="39">
        <f>IF(12&gt;VALUE(Financeiro!$B$23),"",IFERROR(M11+N10,0))</f>
        <v>4234.6958047790513</v>
      </c>
      <c r="O11" s="39">
        <f>IF(13&gt;VALUE(Financeiro!$B$23),"",IFERROR(N11+O10,0))</f>
        <v>7244.5447626144933</v>
      </c>
      <c r="P11" s="39">
        <f>IF(14&gt;VALUE(Financeiro!$B$23),"",IFERROR(O11+P10,0))</f>
        <v>10204.326053545268</v>
      </c>
      <c r="Q11" s="39">
        <f>IF(15&gt;VALUE(Financeiro!$B$23),"",IFERROR(P11+Q10,0))</f>
        <v>13114.670911915113</v>
      </c>
      <c r="R11" s="39">
        <f>IF(16&gt;VALUE(Financeiro!$B$23),"",IFERROR(Q11+R10,0))</f>
        <v>15976.218073678536</v>
      </c>
      <c r="S11" s="39">
        <f>IF(17&gt;VALUE(Financeiro!$B$23),"",IFERROR(R11+S10,0))</f>
        <v>18789.612301468293</v>
      </c>
      <c r="T11" s="39">
        <f>IF(18&gt;VALUE(Financeiro!$B$23),"",IFERROR(S11+T10,0))</f>
        <v>21555.503031784883</v>
      </c>
      <c r="U11" s="39">
        <f>IF(19&gt;VALUE(Financeiro!$B$23),"",IFERROR(T11+U10,0))</f>
        <v>24274.543135285621</v>
      </c>
      <c r="V11" s="39">
        <f>IF(20&gt;VALUE(Financeiro!$B$23),"",IFERROR(U11+V10,0))</f>
        <v>26947.387781800597</v>
      </c>
      <c r="W11" s="39">
        <f>IF(21&gt;VALUE(Financeiro!$B$23),"",IFERROR(V11+W10,0))</f>
        <v>29574.69340230622</v>
      </c>
      <c r="X11" s="39">
        <f>IF(22&gt;VALUE(Financeiro!$B$23),"",IFERROR(W11+X10,0))</f>
        <v>32157.116740647052</v>
      </c>
      <c r="Y11" s="39">
        <f>IF(23&gt;VALUE(Financeiro!$B$23),"",IFERROR(X11+Y10,0))</f>
        <v>34695.313988316761</v>
      </c>
      <c r="Z11" s="39">
        <f>IF(24&gt;VALUE(Financeiro!$B$23),"",IFERROR(Y11+Z10,0))</f>
        <v>37189.939996091663</v>
      </c>
      <c r="AA11" s="39" t="str">
        <f>IF(25&gt;VALUE(Financeiro!$B$23),"",IFERROR(Z11+AA10,0))</f>
        <v/>
      </c>
    </row>
    <row r="13" spans="1:27" ht="19.5" customHeight="1" x14ac:dyDescent="0.2">
      <c r="A13" s="83" t="s">
        <v>216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</row>
    <row r="14" spans="1:27" ht="18" customHeight="1" x14ac:dyDescent="0.2">
      <c r="A14" s="1" t="s">
        <v>208</v>
      </c>
      <c r="B14" s="39">
        <f>-Financeiro!B20</f>
        <v>-36000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39">
        <v>0</v>
      </c>
      <c r="S14" s="39">
        <v>0</v>
      </c>
      <c r="T14" s="39">
        <v>0</v>
      </c>
      <c r="U14" s="39">
        <v>0</v>
      </c>
      <c r="V14" s="39">
        <v>0</v>
      </c>
      <c r="W14" s="39">
        <v>0</v>
      </c>
      <c r="X14" s="39">
        <v>0</v>
      </c>
      <c r="Y14" s="39">
        <v>0</v>
      </c>
      <c r="Z14" s="39">
        <v>0</v>
      </c>
      <c r="AA14" s="39">
        <v>0</v>
      </c>
    </row>
    <row r="15" spans="1:27" ht="18" customHeight="1" x14ac:dyDescent="0.2">
      <c r="A15" s="1" t="s">
        <v>212</v>
      </c>
      <c r="B15" s="39">
        <v>0</v>
      </c>
      <c r="C15" s="39">
        <f>IF(COLUMN()-2&gt;VALUE(Financeiro!$B$23),"",IFERROR((('C3 — Arbitragem + FV'!$B$21+'C3 — Arbitragem + FV'!$B$23+'C3 — Arbitragem + FV'!$B$30)+('C3 — Arbitragem + FV'!$B$9*(Premissas!$B$69-(Premissas!$B$76/(1-Premissas!$B$75)*IF(COLUMN()-2&lt;=1,0.6,IF(COLUMN()-2&lt;=2,0.75,0.9))))))*12*(1+Financeiro!$B$24)^(COLUMN()-2),0))</f>
        <v>8173.7917252682928</v>
      </c>
      <c r="D15" s="39">
        <f>IF(COLUMN()-2&gt;VALUE(Financeiro!$B$23),"",IFERROR((('C3 — Arbitragem + FV'!$B$21+'C3 — Arbitragem + FV'!$B$23+'C3 — Arbitragem + FV'!$B$30)+('C3 — Arbitragem + FV'!$B$9*(Premissas!$B$69-(Premissas!$B$76/(1-Premissas!$B$75)*IF(COLUMN()-2&lt;=1,0.6,IF(COLUMN()-2&lt;=2,0.75,0.9))))))*12*(1+Financeiro!$B$24)^(COLUMN()-2),0))</f>
        <v>8961.4447038439048</v>
      </c>
      <c r="E15" s="39">
        <f>IF(COLUMN()-2&gt;VALUE(Financeiro!$B$23),"",IFERROR((('C3 — Arbitragem + FV'!$B$21+'C3 — Arbitragem + FV'!$B$23+'C3 — Arbitragem + FV'!$B$30)+('C3 — Arbitragem + FV'!$B$9*(Premissas!$B$69-(Premissas!$B$76/(1-Premissas!$B$75)*IF(COLUMN()-2&lt;=1,0.6,IF(COLUMN()-2&lt;=2,0.75,0.9))))))*12*(1+Financeiro!$B$24)^(COLUMN()-2),0))</f>
        <v>9824.8903608819546</v>
      </c>
      <c r="F15" s="39">
        <f>IF(COLUMN()-2&gt;VALUE(Financeiro!$B$23),"",IFERROR((('C3 — Arbitragem + FV'!$B$21+'C3 — Arbitragem + FV'!$B$23+'C3 — Arbitragem + FV'!$B$30)+('C3 — Arbitragem + FV'!$B$9*(Premissas!$B$69-(Premissas!$B$76/(1-Premissas!$B$75)*IF(COLUMN()-2&lt;=1,0.6,IF(COLUMN()-2&lt;=2,0.75,0.9))))))*12*(1+Financeiro!$B$24)^(COLUMN()-2),0))</f>
        <v>10807.379396970149</v>
      </c>
      <c r="G15" s="39">
        <f>IF(COLUMN()-2&gt;VALUE(Financeiro!$B$23),"",IFERROR((('C3 — Arbitragem + FV'!$B$21+'C3 — Arbitragem + FV'!$B$23+'C3 — Arbitragem + FV'!$B$30)+('C3 — Arbitragem + FV'!$B$9*(Premissas!$B$69-(Premissas!$B$76/(1-Premissas!$B$75)*IF(COLUMN()-2&lt;=1,0.6,IF(COLUMN()-2&lt;=2,0.75,0.9))))))*12*(1+Financeiro!$B$24)^(COLUMN()-2),0))</f>
        <v>11888.117336667166</v>
      </c>
      <c r="H15" s="39">
        <f>IF(COLUMN()-2&gt;VALUE(Financeiro!$B$23),"",IFERROR((('C3 — Arbitragem + FV'!$B$21+'C3 — Arbitragem + FV'!$B$23+'C3 — Arbitragem + FV'!$B$30)+('C3 — Arbitragem + FV'!$B$9*(Premissas!$B$69-(Premissas!$B$76/(1-Premissas!$B$75)*IF(COLUMN()-2&lt;=1,0.6,IF(COLUMN()-2&lt;=2,0.75,0.9))))))*12*(1+Financeiro!$B$24)^(COLUMN()-2),0))</f>
        <v>13076.929070333885</v>
      </c>
      <c r="I15" s="39">
        <f>IF(COLUMN()-2&gt;VALUE(Financeiro!$B$23),"",IFERROR((('C3 — Arbitragem + FV'!$B$21+'C3 — Arbitragem + FV'!$B$23+'C3 — Arbitragem + FV'!$B$30)+('C3 — Arbitragem + FV'!$B$9*(Premissas!$B$69-(Premissas!$B$76/(1-Premissas!$B$75)*IF(COLUMN()-2&lt;=1,0.6,IF(COLUMN()-2&lt;=2,0.75,0.9))))))*12*(1+Financeiro!$B$24)^(COLUMN()-2),0))</f>
        <v>14384.621977367275</v>
      </c>
      <c r="J15" s="39">
        <f>IF(COLUMN()-2&gt;VALUE(Financeiro!$B$23),"",IFERROR((('C3 — Arbitragem + FV'!$B$21+'C3 — Arbitragem + FV'!$B$23+'C3 — Arbitragem + FV'!$B$30)+('C3 — Arbitragem + FV'!$B$9*(Premissas!$B$69-(Premissas!$B$76/(1-Premissas!$B$75)*IF(COLUMN()-2&lt;=1,0.6,IF(COLUMN()-2&lt;=2,0.75,0.9))))))*12*(1+Financeiro!$B$24)^(COLUMN()-2),0))</f>
        <v>15823.084175104001</v>
      </c>
      <c r="K15" s="39">
        <f>IF(COLUMN()-2&gt;VALUE(Financeiro!$B$23),"",IFERROR((('C3 — Arbitragem + FV'!$B$21+'C3 — Arbitragem + FV'!$B$23+'C3 — Arbitragem + FV'!$B$30)+('C3 — Arbitragem + FV'!$B$9*(Premissas!$B$69-(Premissas!$B$76/(1-Premissas!$B$75)*IF(COLUMN()-2&lt;=1,0.6,IF(COLUMN()-2&lt;=2,0.75,0.9))))))*12*(1+Financeiro!$B$24)^(COLUMN()-2),0))</f>
        <v>17405.392592614404</v>
      </c>
      <c r="L15" s="39">
        <f>IF(COLUMN()-2&gt;VALUE(Financeiro!$B$23),"",IFERROR((('C3 — Arbitragem + FV'!$B$21+'C3 — Arbitragem + FV'!$B$23+'C3 — Arbitragem + FV'!$B$30)+('C3 — Arbitragem + FV'!$B$9*(Premissas!$B$69-(Premissas!$B$76/(1-Premissas!$B$75)*IF(COLUMN()-2&lt;=1,0.6,IF(COLUMN()-2&lt;=2,0.75,0.9))))))*12*(1+Financeiro!$B$24)^(COLUMN()-2),0))</f>
        <v>19145.931851875845</v>
      </c>
      <c r="M15" s="39">
        <f>IF(COLUMN()-2&gt;VALUE(Financeiro!$B$23),"",IFERROR((('C3 — Arbitragem + FV'!$B$21+'C3 — Arbitragem + FV'!$B$23+'C3 — Arbitragem + FV'!$B$30)+('C3 — Arbitragem + FV'!$B$9*(Premissas!$B$69-(Premissas!$B$76/(1-Premissas!$B$75)*IF(COLUMN()-2&lt;=1,0.6,IF(COLUMN()-2&lt;=2,0.75,0.9))))))*12*(1+Financeiro!$B$24)^(COLUMN()-2),0))</f>
        <v>21060.525037063431</v>
      </c>
      <c r="N15" s="39">
        <f>IF(COLUMN()-2&gt;VALUE(Financeiro!$B$23),"",IFERROR((('C3 — Arbitragem + FV'!$B$21+'C3 — Arbitragem + FV'!$B$23+'C3 — Arbitragem + FV'!$B$30)+('C3 — Arbitragem + FV'!$B$9*(Premissas!$B$69-(Premissas!$B$76/(1-Premissas!$B$75)*IF(COLUMN()-2&lt;=1,0.6,IF(COLUMN()-2&lt;=2,0.75,0.9))))))*12*(1+Financeiro!$B$24)^(COLUMN()-2),0))</f>
        <v>23166.577540769773</v>
      </c>
      <c r="O15" s="39">
        <f>IF(13&gt;VALUE(Financeiro!$B$23),"",IFERROR('C3 — Arbitragem + FV'!B36*(1+Financeiro!B24)^13,0))</f>
        <v>25483.235294846752</v>
      </c>
      <c r="P15" s="39">
        <f>IF(14&gt;VALUE(Financeiro!$B$23),"",IFERROR('C3 — Arbitragem + FV'!B36*(1+Financeiro!B24)^14,0))</f>
        <v>28031.558824331434</v>
      </c>
      <c r="Q15" s="39">
        <f>IF(15&gt;VALUE(Financeiro!$B$23),"",IFERROR('C3 — Arbitragem + FV'!B36*(1+Financeiro!B24)^15,0))</f>
        <v>30834.714706764575</v>
      </c>
      <c r="R15" s="39">
        <f>IF(16&gt;VALUE(Financeiro!$B$23),"",IFERROR('C3 — Arbitragem + FV'!B36*(1+Financeiro!B24)^16,0))</f>
        <v>33918.186177441035</v>
      </c>
      <c r="S15" s="39">
        <f>IF(17&gt;VALUE(Financeiro!$B$23),"",IFERROR('C3 — Arbitragem + FV'!B36*(1+Financeiro!B24)^17,0))</f>
        <v>37310.004795185137</v>
      </c>
      <c r="T15" s="39">
        <f>IF(18&gt;VALUE(Financeiro!$B$23),"",IFERROR('C3 — Arbitragem + FV'!B36*(1+Financeiro!B24)^18,0))</f>
        <v>41041.005274703653</v>
      </c>
      <c r="U15" s="39">
        <f>IF(19&gt;VALUE(Financeiro!$B$23),"",IFERROR('C3 — Arbitragem + FV'!B36*(1+Financeiro!B24)^19,0))</f>
        <v>45145.105802174032</v>
      </c>
      <c r="V15" s="39">
        <f>IF(20&gt;VALUE(Financeiro!$B$23),"",IFERROR('C3 — Arbitragem + FV'!B36*(1+Financeiro!B24)^20,0))</f>
        <v>49659.616382391432</v>
      </c>
      <c r="W15" s="39">
        <f>IF(21&gt;VALUE(Financeiro!$B$23),"",IFERROR('C3 — Arbitragem + FV'!B36*(1+Financeiro!B24)^21,0))</f>
        <v>54625.578020630579</v>
      </c>
      <c r="X15" s="39">
        <f>IF(22&gt;VALUE(Financeiro!$B$23),"",IFERROR('C3 — Arbitragem + FV'!B36*(1+Financeiro!B24)^22,0))</f>
        <v>60088.13582269365</v>
      </c>
      <c r="Y15" s="39">
        <f>IF(23&gt;VALUE(Financeiro!$B$23),"",IFERROR('C3 — Arbitragem + FV'!B36*(1+Financeiro!B24)^23,0))</f>
        <v>66096.949404963016</v>
      </c>
      <c r="Z15" s="39">
        <f>IF(24&gt;VALUE(Financeiro!$B$23),"",IFERROR('C3 — Arbitragem + FV'!B36*(1+Financeiro!B24)^24,0))</f>
        <v>72706.64434545931</v>
      </c>
      <c r="AA15" s="39" t="str">
        <f>IF(25&gt;VALUE(Financeiro!$B$23),"",IFERROR('C3 — Arbitragem + FV'!B36*(1+Financeiro!B24)^25,0))</f>
        <v/>
      </c>
    </row>
    <row r="16" spans="1:27" ht="18" customHeight="1" x14ac:dyDescent="0.2">
      <c r="A16" s="1" t="s">
        <v>209</v>
      </c>
      <c r="B16" s="39">
        <v>0</v>
      </c>
      <c r="C16" s="39">
        <f>IF(1&gt;VALUE(Financeiro!$B$23),"",IFERROR(-Financeiro!B20*(Financeiro!B26)*(1+Financeiro!B30)^1,0))</f>
        <v>-187.20000000000002</v>
      </c>
      <c r="D16" s="39">
        <f>IF(2&gt;VALUE(Financeiro!$B$23),"",IFERROR(-Financeiro!B20*(Financeiro!B26)*(1+Financeiro!B30)^2,0))</f>
        <v>-194.68800000000002</v>
      </c>
      <c r="E16" s="39">
        <f>IF(3&gt;VALUE(Financeiro!$B$23),"",IFERROR(-Financeiro!B20*(Financeiro!B26)*(1+Financeiro!B30)^3,0))</f>
        <v>-202.47552000000002</v>
      </c>
      <c r="F16" s="39">
        <f>IF(4&gt;VALUE(Financeiro!$B$23),"",IFERROR(-Financeiro!B20*(Financeiro!B26)*(1+Financeiro!B30)^4,0))</f>
        <v>-210.57454080000005</v>
      </c>
      <c r="G16" s="39">
        <f>IF(5&gt;VALUE(Financeiro!$B$23),"",IFERROR(-Financeiro!B20*(Financeiro!B26)*(1+Financeiro!B30)^5,0))</f>
        <v>-218.99752243200007</v>
      </c>
      <c r="H16" s="39">
        <f>IF(6&gt;VALUE(Financeiro!$B$23),"",IFERROR(-Financeiro!B20*(Financeiro!B26)*(1+Financeiro!B30)^6,0))</f>
        <v>-227.75742332928007</v>
      </c>
      <c r="I16" s="39">
        <f>IF(7&gt;VALUE(Financeiro!$B$23),"",IFERROR(-Financeiro!B20*(Financeiro!B26)*(1+Financeiro!B30)^7,0))</f>
        <v>-236.86772026245126</v>
      </c>
      <c r="J16" s="39">
        <f>IF(8&gt;VALUE(Financeiro!$B$23),"",IFERROR(-Financeiro!B20*(Financeiro!B26)*(1+Financeiro!B30)^8,0))</f>
        <v>-246.34242907294933</v>
      </c>
      <c r="K16" s="39">
        <f>IF(9&gt;VALUE(Financeiro!$B$23),"",IFERROR(-Financeiro!B20*(Financeiro!B26)*(1+Financeiro!B30)^9,0))</f>
        <v>-256.19612623586733</v>
      </c>
      <c r="L16" s="39">
        <f>IF(10&gt;VALUE(Financeiro!$B$23),"",IFERROR(-Financeiro!B20*(Financeiro!B26)*(1+Financeiro!B30)^10,0))</f>
        <v>-266.44397128530204</v>
      </c>
      <c r="M16" s="39">
        <f>IF(11&gt;VALUE(Financeiro!$B$23),"",IFERROR(-Financeiro!B20*(Financeiro!B26)*(1+Financeiro!B30)^11,0))</f>
        <v>-277.10173013671408</v>
      </c>
      <c r="N16" s="39">
        <f>IF(12&gt;VALUE(Financeiro!$B$23),"",IFERROR(-Financeiro!B20*(Financeiro!B26)*(1+Financeiro!B30)^12,0))</f>
        <v>-288.18579934218269</v>
      </c>
      <c r="O16" s="39">
        <f>IF(13&gt;VALUE(Financeiro!$B$23),"",IFERROR(-Financeiro!B20*(Financeiro!B26)*(1+Financeiro!B30)^13,0))</f>
        <v>-299.71323131587002</v>
      </c>
      <c r="P16" s="39">
        <f>IF(14&gt;VALUE(Financeiro!$B$23),"",IFERROR(-Financeiro!B20*(Financeiro!B26)*(1+Financeiro!B30)^14,0))</f>
        <v>-311.70176056850482</v>
      </c>
      <c r="Q16" s="39">
        <f>IF(15&gt;VALUE(Financeiro!$B$23),"",IFERROR(-Financeiro!B20*(Financeiro!B26)*(1+Financeiro!B30)^15,0))</f>
        <v>-324.16983099124502</v>
      </c>
      <c r="R16" s="39">
        <f>IF(16&gt;VALUE(Financeiro!$B$23),"",IFERROR(-Financeiro!B20*(Financeiro!B26)*(1+Financeiro!B30)^16,0))</f>
        <v>-337.13662423089488</v>
      </c>
      <c r="S16" s="39">
        <f>IF(17&gt;VALUE(Financeiro!$B$23),"",IFERROR(-Financeiro!B20*(Financeiro!B26)*(1+Financeiro!B30)^17,0))</f>
        <v>-350.62208920013069</v>
      </c>
      <c r="T16" s="39">
        <f>IF(18&gt;VALUE(Financeiro!$B$23),"",IFERROR(-Financeiro!B20*(Financeiro!B26)*(1+Financeiro!B30)^18,0))</f>
        <v>-364.64697276813592</v>
      </c>
      <c r="U16" s="39">
        <f>IF(19&gt;VALUE(Financeiro!$B$23),"",IFERROR(-Financeiro!B20*(Financeiro!B26)*(1+Financeiro!B30)^19,0))</f>
        <v>-379.23285167886138</v>
      </c>
      <c r="V16" s="39">
        <f>IF(20&gt;VALUE(Financeiro!$B$23),"",IFERROR(-Financeiro!B20*(Financeiro!B26)*(1+Financeiro!B30)^20,0))</f>
        <v>-394.40216574601584</v>
      </c>
      <c r="W16" s="39">
        <f>IF(21&gt;VALUE(Financeiro!$B$23),"",IFERROR(-Financeiro!B20*(Financeiro!B26)*(1+Financeiro!B30)^21,0))</f>
        <v>-410.17825237585657</v>
      </c>
      <c r="X16" s="39">
        <f>IF(22&gt;VALUE(Financeiro!$B$23),"",IFERROR(-Financeiro!B20*(Financeiro!B26)*(1+Financeiro!B30)^22,0))</f>
        <v>-426.58538247089081</v>
      </c>
      <c r="Y16" s="39">
        <f>IF(23&gt;VALUE(Financeiro!$B$23),"",IFERROR(-Financeiro!B20*(Financeiro!B26)*(1+Financeiro!B30)^23,0))</f>
        <v>-443.6487977697264</v>
      </c>
      <c r="Z16" s="39">
        <f>IF(24&gt;VALUE(Financeiro!$B$23),"",IFERROR(-Financeiro!B20*(Financeiro!B26)*(1+Financeiro!B30)^24,0))</f>
        <v>-461.39474968051547</v>
      </c>
      <c r="AA16" s="39" t="str">
        <f>IF(25&gt;VALUE(Financeiro!$B$23),"",IFERROR(-Financeiro!B20*(Financeiro!B26)*(1+Financeiro!B30)^25,0))</f>
        <v/>
      </c>
    </row>
    <row r="17" spans="1:27" ht="18" customHeight="1" x14ac:dyDescent="0.2">
      <c r="A17" s="9" t="s">
        <v>210</v>
      </c>
      <c r="B17" s="38">
        <f>-Financeiro!B20</f>
        <v>-36000</v>
      </c>
      <c r="C17" s="38">
        <f>IF(1&gt;VALUE(Financeiro!$B$23),"",IFERROR(C15+C16,0))</f>
        <v>7986.591725268293</v>
      </c>
      <c r="D17" s="38">
        <f>IF(2&gt;VALUE(Financeiro!$B$23),"",IFERROR(D15+D16,0))</f>
        <v>8766.7567038439047</v>
      </c>
      <c r="E17" s="38">
        <f>IF(3&gt;VALUE(Financeiro!$B$23),"",IFERROR(E15+E16,0))</f>
        <v>9622.4148408819547</v>
      </c>
      <c r="F17" s="38">
        <f>IF(4&gt;VALUE(Financeiro!$B$23),"",IFERROR(F15+F16,0))</f>
        <v>10596.804856170149</v>
      </c>
      <c r="G17" s="38">
        <f>IF(5&gt;VALUE(Financeiro!$B$23),"",IFERROR(G15+G16,0))</f>
        <v>11669.119814235166</v>
      </c>
      <c r="H17" s="38">
        <f>IF(6&gt;VALUE(Financeiro!$B$23),"",IFERROR(H15+H16,0))</f>
        <v>12849.171647004605</v>
      </c>
      <c r="I17" s="38">
        <f>IF(7&gt;VALUE(Financeiro!$B$23),"",IFERROR(I15+I16,0))</f>
        <v>14147.754257104823</v>
      </c>
      <c r="J17" s="38">
        <f>IF(8&gt;VALUE(Financeiro!$B$23),"",IFERROR(J15+J16,0))</f>
        <v>15576.741746031052</v>
      </c>
      <c r="K17" s="38">
        <f>IF(9&gt;VALUE(Financeiro!$B$23),"",IFERROR(K15+K16,0))</f>
        <v>17149.196466378537</v>
      </c>
      <c r="L17" s="38">
        <f>IF(10&gt;VALUE(Financeiro!$B$23),"",IFERROR(L15+L16,0))</f>
        <v>18879.487880590543</v>
      </c>
      <c r="M17" s="38">
        <f>IF(11&gt;VALUE(Financeiro!$B$23),"",IFERROR(M15+M16,0))</f>
        <v>20783.423306926717</v>
      </c>
      <c r="N17" s="38">
        <f>IF(12&gt;VALUE(Financeiro!$B$23),"",IFERROR(N15+N16,0))</f>
        <v>22878.391741427589</v>
      </c>
      <c r="O17" s="38">
        <f>IF(13&gt;VALUE(Financeiro!$B$23),"",IFERROR(O15+O16,0))</f>
        <v>25183.522063530883</v>
      </c>
      <c r="P17" s="38">
        <f>IF(14&gt;VALUE(Financeiro!$B$23),"",IFERROR(P15+P16,0))</f>
        <v>27719.857063762931</v>
      </c>
      <c r="Q17" s="38">
        <f>IF(15&gt;VALUE(Financeiro!$B$23),"",IFERROR(Q15+Q16,0))</f>
        <v>30510.544875773328</v>
      </c>
      <c r="R17" s="38">
        <f>IF(16&gt;VALUE(Financeiro!$B$23),"",IFERROR(R15+R16,0))</f>
        <v>33581.049553210141</v>
      </c>
      <c r="S17" s="38">
        <f>IF(17&gt;VALUE(Financeiro!$B$23),"",IFERROR(S15+S16,0))</f>
        <v>36959.382705985008</v>
      </c>
      <c r="T17" s="38">
        <f>IF(18&gt;VALUE(Financeiro!$B$23),"",IFERROR(T15+T16,0))</f>
        <v>40676.358301935521</v>
      </c>
      <c r="U17" s="38">
        <f>IF(19&gt;VALUE(Financeiro!$B$23),"",IFERROR(U15+U16,0))</f>
        <v>44765.87295049517</v>
      </c>
      <c r="V17" s="38">
        <f>IF(20&gt;VALUE(Financeiro!$B$23),"",IFERROR(V15+V16,0))</f>
        <v>49265.214216645414</v>
      </c>
      <c r="W17" s="38">
        <f>IF(21&gt;VALUE(Financeiro!$B$23),"",IFERROR(W15+W16,0))</f>
        <v>54215.39976825472</v>
      </c>
      <c r="X17" s="38">
        <f>IF(22&gt;VALUE(Financeiro!$B$23),"",IFERROR(X15+X16,0))</f>
        <v>59661.55044022276</v>
      </c>
      <c r="Y17" s="38">
        <f>IF(23&gt;VALUE(Financeiro!$B$23),"",IFERROR(Y15+Y16,0))</f>
        <v>65653.30060719329</v>
      </c>
      <c r="Z17" s="38">
        <f>IF(24&gt;VALUE(Financeiro!$B$23),"",IFERROR(Z15+Z16,0))</f>
        <v>72245.249595778791</v>
      </c>
      <c r="AA17" s="38" t="str">
        <f>IF(25&gt;VALUE(Financeiro!$B$23),"",IFERROR(AA15+AA16,0))</f>
        <v/>
      </c>
    </row>
    <row r="18" spans="1:27" ht="18" customHeight="1" x14ac:dyDescent="0.2">
      <c r="A18" s="9" t="s">
        <v>213</v>
      </c>
      <c r="B18" s="38">
        <f>-Financeiro!B20</f>
        <v>-36000</v>
      </c>
      <c r="C18" s="38">
        <f>IF(1&gt;VALUE(Financeiro!$B$23),"",IFERROR(B18+C17,0))</f>
        <v>-28013.408274731708</v>
      </c>
      <c r="D18" s="38">
        <f>IF(2&gt;VALUE(Financeiro!$B$23),"",IFERROR(C18+D17,0))</f>
        <v>-19246.651570887803</v>
      </c>
      <c r="E18" s="38">
        <f>IF(3&gt;VALUE(Financeiro!$B$23),"",IFERROR(D18+E17,0))</f>
        <v>-9624.2367300058486</v>
      </c>
      <c r="F18" s="38">
        <f>IF(4&gt;VALUE(Financeiro!$B$23),"",IFERROR(E18+F17,0))</f>
        <v>972.56812616430034</v>
      </c>
      <c r="G18" s="38">
        <f>IF(5&gt;VALUE(Financeiro!$B$23),"",IFERROR(F18+G17,0))</f>
        <v>12641.687940399466</v>
      </c>
      <c r="H18" s="38">
        <f>IF(6&gt;VALUE(Financeiro!$B$23),"",IFERROR(G18+H17,0))</f>
        <v>25490.859587404069</v>
      </c>
      <c r="I18" s="38">
        <f>IF(7&gt;VALUE(Financeiro!$B$23),"",IFERROR(H18+I17,0))</f>
        <v>39638.613844508895</v>
      </c>
      <c r="J18" s="38">
        <f>IF(8&gt;VALUE(Financeiro!$B$23),"",IFERROR(I18+J17,0))</f>
        <v>55215.355590539948</v>
      </c>
      <c r="K18" s="38">
        <f>IF(9&gt;VALUE(Financeiro!$B$23),"",IFERROR(J18+K17,0))</f>
        <v>72364.552056918488</v>
      </c>
      <c r="L18" s="38">
        <f>IF(10&gt;VALUE(Financeiro!$B$23),"",IFERROR(K18+L17,0))</f>
        <v>91244.039937509035</v>
      </c>
      <c r="M18" s="38">
        <f>IF(11&gt;VALUE(Financeiro!$B$23),"",IFERROR(L18+M17,0))</f>
        <v>112027.46324443576</v>
      </c>
      <c r="N18" s="38">
        <f>IF(12&gt;VALUE(Financeiro!$B$23),"",IFERROR(M18+N17,0))</f>
        <v>134905.85498586335</v>
      </c>
      <c r="O18" s="38">
        <f>IF(13&gt;VALUE(Financeiro!$B$23),"",IFERROR(N18+O17,0))</f>
        <v>160089.37704939424</v>
      </c>
      <c r="P18" s="38">
        <f>IF(14&gt;VALUE(Financeiro!$B$23),"",IFERROR(O18+P17,0))</f>
        <v>187809.23411315717</v>
      </c>
      <c r="Q18" s="38">
        <f>IF(15&gt;VALUE(Financeiro!$B$23),"",IFERROR(P18+Q17,0))</f>
        <v>218319.77898893051</v>
      </c>
      <c r="R18" s="38">
        <f>IF(16&gt;VALUE(Financeiro!$B$23),"",IFERROR(Q18+R17,0))</f>
        <v>251900.82854214066</v>
      </c>
      <c r="S18" s="38">
        <f>IF(17&gt;VALUE(Financeiro!$B$23),"",IFERROR(R18+S17,0))</f>
        <v>288860.21124812565</v>
      </c>
      <c r="T18" s="38">
        <f>IF(18&gt;VALUE(Financeiro!$B$23),"",IFERROR(S18+T17,0))</f>
        <v>329536.56955006119</v>
      </c>
      <c r="U18" s="38">
        <f>IF(19&gt;VALUE(Financeiro!$B$23),"",IFERROR(T18+U17,0))</f>
        <v>374302.44250055635</v>
      </c>
      <c r="V18" s="38">
        <f>IF(20&gt;VALUE(Financeiro!$B$23),"",IFERROR(U18+V17,0))</f>
        <v>423567.65671720175</v>
      </c>
      <c r="W18" s="38">
        <f>IF(21&gt;VALUE(Financeiro!$B$23),"",IFERROR(V18+W17,0))</f>
        <v>477783.05648545647</v>
      </c>
      <c r="X18" s="38">
        <f>IF(22&gt;VALUE(Financeiro!$B$23),"",IFERROR(W18+X17,0))</f>
        <v>537444.60692567925</v>
      </c>
      <c r="Y18" s="38">
        <f>IF(23&gt;VALUE(Financeiro!$B$23),"",IFERROR(X18+Y17,0))</f>
        <v>603097.90753287252</v>
      </c>
      <c r="Z18" s="38">
        <f>IF(24&gt;VALUE(Financeiro!$B$23),"",IFERROR(Y18+Z17,0))</f>
        <v>675343.15712865128</v>
      </c>
      <c r="AA18" s="38" t="str">
        <f>IF(25&gt;VALUE(Financeiro!$B$23),"",IFERROR(Z18+AA17,0))</f>
        <v/>
      </c>
    </row>
    <row r="19" spans="1:27" ht="18" customHeight="1" x14ac:dyDescent="0.2">
      <c r="A19" s="1" t="s">
        <v>214</v>
      </c>
      <c r="B19" s="39">
        <f>-Financeiro!B20</f>
        <v>-36000</v>
      </c>
      <c r="C19" s="39">
        <f>IF(1&gt;VALUE(Financeiro!$B$23),"",IFERROR(C17/(1+Financeiro!B25)^1,0))</f>
        <v>7130.885468989547</v>
      </c>
      <c r="D19" s="39">
        <f>IF(2&gt;VALUE(Financeiro!$B$23),"",IFERROR(D17/(1+Financeiro!B25)^2,0))</f>
        <v>6988.8047702837239</v>
      </c>
      <c r="E19" s="39">
        <f>IF(3&gt;VALUE(Financeiro!$B$23),"",IFERROR(E17/(1+Financeiro!B25)^3,0))</f>
        <v>6849.0448200064002</v>
      </c>
      <c r="F19" s="39">
        <f>IF(4&gt;VALUE(Financeiro!$B$23),"",IFERROR(F17/(1+Financeiro!B25)^4,0))</f>
        <v>6734.4610594242367</v>
      </c>
      <c r="G19" s="39">
        <f>IF(5&gt;VALUE(Financeiro!$B$23),"",IFERROR(G17/(1+Financeiro!B25)^5,0))</f>
        <v>6621.3719651950651</v>
      </c>
      <c r="H19" s="39">
        <f>IF(6&gt;VALUE(Financeiro!$B$23),"",IFERROR(H17/(1+Financeiro!B25)^6,0))</f>
        <v>6509.7902377217833</v>
      </c>
      <c r="I19" s="39">
        <f>IF(7&gt;VALUE(Financeiro!$B$23),"",IFERROR(I17/(1+Financeiro!B25)^7,0))</f>
        <v>6399.7255369805607</v>
      </c>
      <c r="J19" s="39">
        <f>IF(8&gt;VALUE(Financeiro!$B$23),"",IFERROR(J17/(1+Financeiro!B25)^8,0))</f>
        <v>6291.1847377880158</v>
      </c>
      <c r="K19" s="39">
        <f>IF(9&gt;VALUE(Financeiro!$B$23),"",IFERROR(K17/(1+Financeiro!B25)^9,0))</f>
        <v>6184.1721661547799</v>
      </c>
      <c r="L19" s="39">
        <f>IF(10&gt;VALUE(Financeiro!$B$23),"",IFERROR(L17/(1+Financeiro!B25)^10,0))</f>
        <v>6078.6898180885564</v>
      </c>
      <c r="M19" s="39">
        <f>IF(11&gt;VALUE(Financeiro!$B$23),"",IFERROR(M17/(1+Financeiro!B25)^11,0))</f>
        <v>5974.7375621122328</v>
      </c>
      <c r="N19" s="39">
        <f>IF(12&gt;VALUE(Financeiro!$B$23),"",IFERROR(N17/(1+Financeiro!B25)^12,0))</f>
        <v>5872.3133266719469</v>
      </c>
      <c r="O19" s="39">
        <f>IF(13&gt;VALUE(Financeiro!$B$23),"",IFERROR(O17/(1+Financeiro!B25)^13,0))</f>
        <v>5771.4132735259318</v>
      </c>
      <c r="P19" s="39">
        <f>IF(14&gt;VALUE(Financeiro!$B$23),"",IFERROR(P17/(1+Financeiro!B25)^14,0))</f>
        <v>5672.0319581267913</v>
      </c>
      <c r="Q19" s="39">
        <f>IF(15&gt;VALUE(Financeiro!$B$23),"",IFERROR(Q17/(1+Financeiro!B25)^15,0))</f>
        <v>5574.1624779373606</v>
      </c>
      <c r="R19" s="39">
        <f>IF(16&gt;VALUE(Financeiro!$B$23),"",IFERROR(R17/(1+Financeiro!B25)^16,0))</f>
        <v>5477.7966095529473</v>
      </c>
      <c r="S19" s="39">
        <f>IF(17&gt;VALUE(Financeiro!$B$23),"",IFERROR(S17/(1+Financeiro!B25)^17,0))</f>
        <v>5382.9249354401818</v>
      </c>
      <c r="T19" s="39">
        <f>IF(18&gt;VALUE(Financeiro!$B$23),"",IFERROR(T17/(1+Financeiro!B25)^18,0))</f>
        <v>5289.5369610446878</v>
      </c>
      <c r="U19" s="39">
        <f>IF(19&gt;VALUE(Financeiro!$B$23),"",IFERROR(U17/(1+Financeiro!B25)^19,0))</f>
        <v>5197.6212229658322</v>
      </c>
      <c r="V19" s="39">
        <f>IF(20&gt;VALUE(Financeiro!$B$23),"",IFERROR(V17/(1+Financeiro!B25)^20,0))</f>
        <v>5107.1653888467654</v>
      </c>
      <c r="W19" s="39">
        <f>IF(21&gt;VALUE(Financeiro!$B$23),"",IFERROR(W17/(1+Financeiro!B25)^21,0))</f>
        <v>5018.1563495814862</v>
      </c>
      <c r="X19" s="39">
        <f>IF(22&gt;VALUE(Financeiro!$B$23),"",IFERROR(X17/(1+Financeiro!B25)^22,0))</f>
        <v>4930.5803043974865</v>
      </c>
      <c r="Y19" s="39">
        <f>IF(23&gt;VALUE(Financeiro!$B$23),"",IFERROR(Y17/(1+Financeiro!B25)^23,0))</f>
        <v>4844.4228393324902</v>
      </c>
      <c r="Z19" s="39">
        <f>IF(24&gt;VALUE(Financeiro!$B$23),"",IFERROR(Z17/(1+Financeiro!B25)^24,0))</f>
        <v>4759.6689995865636</v>
      </c>
      <c r="AA19" s="39" t="str">
        <f>IF(25&gt;VALUE(Financeiro!$B$23),"",IFERROR(AA17/(1+Financeiro!B25)^25,0))</f>
        <v/>
      </c>
    </row>
    <row r="20" spans="1:27" ht="18" customHeight="1" x14ac:dyDescent="0.2">
      <c r="A20" s="1" t="s">
        <v>215</v>
      </c>
      <c r="B20" s="39">
        <f>-Financeiro!B20</f>
        <v>-36000</v>
      </c>
      <c r="C20" s="39">
        <f>IF(1&gt;VALUE(Financeiro!$B$23),"",IFERROR(B20+C19,0))</f>
        <v>-28869.114531010455</v>
      </c>
      <c r="D20" s="39">
        <f>IF(2&gt;VALUE(Financeiro!$B$23),"",IFERROR(C20+D19,0))</f>
        <v>-21880.30976072673</v>
      </c>
      <c r="E20" s="39">
        <f>IF(3&gt;VALUE(Financeiro!$B$23),"",IFERROR(D20+E19,0))</f>
        <v>-15031.26494072033</v>
      </c>
      <c r="F20" s="39">
        <f>IF(4&gt;VALUE(Financeiro!$B$23),"",IFERROR(E20+F19,0))</f>
        <v>-8296.8038812960931</v>
      </c>
      <c r="G20" s="39">
        <f>IF(5&gt;VALUE(Financeiro!$B$23),"",IFERROR(F20+G19,0))</f>
        <v>-1675.431916101028</v>
      </c>
      <c r="H20" s="39">
        <f>IF(6&gt;VALUE(Financeiro!$B$23),"",IFERROR(G20+H19,0))</f>
        <v>4834.3583216207553</v>
      </c>
      <c r="I20" s="39">
        <f>IF(7&gt;VALUE(Financeiro!$B$23),"",IFERROR(H20+I19,0))</f>
        <v>11234.083858601316</v>
      </c>
      <c r="J20" s="39">
        <f>IF(8&gt;VALUE(Financeiro!$B$23),"",IFERROR(I20+J19,0))</f>
        <v>17525.268596389331</v>
      </c>
      <c r="K20" s="39">
        <f>IF(9&gt;VALUE(Financeiro!$B$23),"",IFERROR(J20+K19,0))</f>
        <v>23709.440762544109</v>
      </c>
      <c r="L20" s="39">
        <f>IF(10&gt;VALUE(Financeiro!$B$23),"",IFERROR(K20+L19,0))</f>
        <v>29788.130580632664</v>
      </c>
      <c r="M20" s="39">
        <f>IF(11&gt;VALUE(Financeiro!$B$23),"",IFERROR(L20+M19,0))</f>
        <v>35762.868142744897</v>
      </c>
      <c r="N20" s="39">
        <f>IF(12&gt;VALUE(Financeiro!$B$23),"",IFERROR(M20+N19,0))</f>
        <v>41635.181469416842</v>
      </c>
      <c r="O20" s="39">
        <f>IF(13&gt;VALUE(Financeiro!$B$23),"",IFERROR(N20+O19,0))</f>
        <v>47406.594742942776</v>
      </c>
      <c r="P20" s="39">
        <f>IF(14&gt;VALUE(Financeiro!$B$23),"",IFERROR(O20+P19,0))</f>
        <v>53078.626701069566</v>
      </c>
      <c r="Q20" s="39">
        <f>IF(15&gt;VALUE(Financeiro!$B$23),"",IFERROR(P20+Q19,0))</f>
        <v>58652.789179006926</v>
      </c>
      <c r="R20" s="39">
        <f>IF(16&gt;VALUE(Financeiro!$B$23),"",IFERROR(Q20+R19,0))</f>
        <v>64130.585788559874</v>
      </c>
      <c r="S20" s="39">
        <f>IF(17&gt;VALUE(Financeiro!$B$23),"",IFERROR(R20+S19,0))</f>
        <v>69513.510724000051</v>
      </c>
      <c r="T20" s="39">
        <f>IF(18&gt;VALUE(Financeiro!$B$23),"",IFERROR(S20+T19,0))</f>
        <v>74803.047685044745</v>
      </c>
      <c r="U20" s="39">
        <f>IF(19&gt;VALUE(Financeiro!$B$23),"",IFERROR(T20+U19,0))</f>
        <v>80000.668908010572</v>
      </c>
      <c r="V20" s="39">
        <f>IF(20&gt;VALUE(Financeiro!$B$23),"",IFERROR(U20+V19,0))</f>
        <v>85107.834296857342</v>
      </c>
      <c r="W20" s="39">
        <f>IF(21&gt;VALUE(Financeiro!$B$23),"",IFERROR(V20+W19,0))</f>
        <v>90125.990646438833</v>
      </c>
      <c r="X20" s="39">
        <f>IF(22&gt;VALUE(Financeiro!$B$23),"",IFERROR(W20+X19,0))</f>
        <v>95056.570950836322</v>
      </c>
      <c r="Y20" s="39">
        <f>IF(23&gt;VALUE(Financeiro!$B$23),"",IFERROR(X20+Y19,0))</f>
        <v>99900.99379016881</v>
      </c>
      <c r="Z20" s="39">
        <f>IF(24&gt;VALUE(Financeiro!$B$23),"",IFERROR(Y20+Z19,0))</f>
        <v>104660.66278975537</v>
      </c>
      <c r="AA20" s="39" t="str">
        <f>IF(25&gt;VALUE(Financeiro!$B$23),"",IFERROR(Z20+AA19,0))</f>
        <v/>
      </c>
    </row>
    <row r="23" spans="1:27" ht="19.5" customHeight="1" x14ac:dyDescent="0.2">
      <c r="A23" s="83" t="s">
        <v>217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</row>
    <row r="24" spans="1:27" ht="18" customHeight="1" x14ac:dyDescent="0.2">
      <c r="A24" s="72" t="s">
        <v>218</v>
      </c>
      <c r="B24" s="62" t="s">
        <v>219</v>
      </c>
      <c r="C24" s="63" t="s">
        <v>220</v>
      </c>
    </row>
    <row r="25" spans="1:27" ht="18" customHeight="1" x14ac:dyDescent="0.2">
      <c r="A25" s="73" t="s">
        <v>153</v>
      </c>
      <c r="B25" s="64">
        <f>Financeiro!B20</f>
        <v>36000</v>
      </c>
      <c r="C25" s="65">
        <f>Financeiro!B20</f>
        <v>36000</v>
      </c>
    </row>
    <row r="26" spans="1:27" ht="18" customHeight="1" x14ac:dyDescent="0.2">
      <c r="A26" s="73" t="s">
        <v>221</v>
      </c>
      <c r="B26" s="64">
        <f>'C2 — Arbitragem'!B31</f>
        <v>3891.1103999999996</v>
      </c>
      <c r="C26" s="65">
        <f>IFERROR(C15,0)</f>
        <v>8173.7917252682928</v>
      </c>
    </row>
    <row r="27" spans="1:27" ht="18" customHeight="1" x14ac:dyDescent="0.2">
      <c r="A27" s="73" t="s">
        <v>181</v>
      </c>
      <c r="B27" s="66">
        <f>IFERROR(Financeiro!B20/('C2 — Arbitragem'!B31),0)</f>
        <v>9.2518577730408271</v>
      </c>
      <c r="C27" s="67">
        <f>IFERROR(Financeiro!B20/C26,0)</f>
        <v>4.4043206886114232</v>
      </c>
    </row>
    <row r="28" spans="1:27" ht="18" customHeight="1" x14ac:dyDescent="0.2">
      <c r="A28" s="73" t="s">
        <v>222</v>
      </c>
      <c r="B28" s="64">
        <f>IFERROR(NPV(Financeiro!B25,C8:AA8)+B5,0)</f>
        <v>37189.939996091649</v>
      </c>
      <c r="C28" s="65">
        <f>IFERROR(NPV(Financeiro!B25,C17:AA17)+B14,0)</f>
        <v>104660.66278975533</v>
      </c>
    </row>
    <row r="29" spans="1:27" ht="18" customHeight="1" x14ac:dyDescent="0.2">
      <c r="A29" s="73" t="s">
        <v>223</v>
      </c>
      <c r="B29" s="68">
        <f>IFERROR(IRR(B8:AA8,10%),0)</f>
        <v>0.201408070066877</v>
      </c>
      <c r="C29" s="69">
        <f>IFERROR(IRR(B17:AA17,10%),0)</f>
        <v>0.31894136100184589</v>
      </c>
    </row>
    <row r="30" spans="1:27" ht="18" customHeight="1" x14ac:dyDescent="0.2">
      <c r="A30" s="73" t="s">
        <v>226</v>
      </c>
      <c r="B30" s="64">
        <f ca="1">IFERROR(OFFSET(B9,0,Financeiro!B23),0)</f>
        <v>335471.89188091003</v>
      </c>
      <c r="C30" s="65">
        <f ca="1">IFERROR(OFFSET(B18,0,Financeiro!B23),0)</f>
        <v>675343.15712865128</v>
      </c>
    </row>
    <row r="31" spans="1:27" x14ac:dyDescent="0.2">
      <c r="A31" s="74" t="s">
        <v>131</v>
      </c>
      <c r="B31" s="70" t="str">
        <f>Financeiro!B23</f>
        <v>24</v>
      </c>
      <c r="C31" s="71" t="str">
        <f>Financeiro!B23</f>
        <v>24</v>
      </c>
    </row>
  </sheetData>
  <mergeCells count="5">
    <mergeCell ref="A23:AA23"/>
    <mergeCell ref="A1:E1"/>
    <mergeCell ref="A2:E2"/>
    <mergeCell ref="A4:AA4"/>
    <mergeCell ref="A13:AA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Premissas</vt:lpstr>
      <vt:lpstr>Financeiro</vt:lpstr>
      <vt:lpstr>C1 — Backup</vt:lpstr>
      <vt:lpstr>C2 — Arbitragem</vt:lpstr>
      <vt:lpstr>C3 — Arbitragem + FV</vt:lpstr>
      <vt:lpstr>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victor Zani</cp:lastModifiedBy>
  <cp:revision>0</cp:revision>
  <dcterms:created xsi:type="dcterms:W3CDTF">2026-05-14T18:27:33Z</dcterms:created>
  <dcterms:modified xsi:type="dcterms:W3CDTF">2026-05-14T23:15:20Z</dcterms:modified>
  <dc:language>en-US</dc:language>
</cp:coreProperties>
</file>