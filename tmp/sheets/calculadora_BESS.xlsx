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ictorzani/Downloads/"/>
    </mc:Choice>
  </mc:AlternateContent>
  <xr:revisionPtr revIDLastSave="0" documentId="13_ncr:1_{C5B4C233-8770-A44A-8D85-35DF3B992956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Premissas" sheetId="1" r:id="rId1"/>
    <sheet name="C1 - BESS Puro" sheetId="2" r:id="rId2"/>
    <sheet name="C2 - BESS+Solar BESS" sheetId="3" r:id="rId3"/>
    <sheet name="C3 - BESS+Solar FP" sheetId="4" r:id="rId4"/>
    <sheet name="C4 - Gerador Diesel" sheetId="5" r:id="rId5"/>
    <sheet name="Comparativo" sheetId="6" r:id="rId6"/>
    <sheet name="Fluxo de Caix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5" l="1"/>
  <c r="F23" i="6"/>
  <c r="F13" i="6"/>
  <c r="F12" i="6"/>
  <c r="E8" i="6"/>
  <c r="D8" i="6"/>
  <c r="C20" i="5"/>
  <c r="C12" i="5"/>
  <c r="C15" i="5" s="1"/>
  <c r="C6" i="5"/>
  <c r="C27" i="4"/>
  <c r="E12" i="6" s="1"/>
  <c r="C19" i="4"/>
  <c r="E16" i="6" s="1"/>
  <c r="C10" i="4"/>
  <c r="C4" i="4"/>
  <c r="C5" i="4" s="1"/>
  <c r="C26" i="3"/>
  <c r="D12" i="6" s="1"/>
  <c r="C18" i="3"/>
  <c r="D16" i="6" s="1"/>
  <c r="C10" i="3"/>
  <c r="C4" i="3"/>
  <c r="C5" i="3" s="1"/>
  <c r="C9" i="2"/>
  <c r="C16" i="6" s="1"/>
  <c r="C4" i="2"/>
  <c r="C5" i="2" s="1"/>
  <c r="C53" i="1"/>
  <c r="F6" i="6" s="1"/>
  <c r="C36" i="1"/>
  <c r="C11" i="4" s="1"/>
  <c r="C31" i="1"/>
  <c r="C11" i="3" s="1"/>
  <c r="C20" i="1"/>
  <c r="C10" i="1" s="1"/>
  <c r="C10" i="2" s="1"/>
  <c r="C17" i="6" s="1"/>
  <c r="C13" i="3" l="1"/>
  <c r="C14" i="3" s="1"/>
  <c r="C20" i="3" s="1"/>
  <c r="D18" i="6" s="1"/>
  <c r="C34" i="1"/>
  <c r="C9" i="4" s="1"/>
  <c r="E5" i="6"/>
  <c r="C26" i="4"/>
  <c r="E11" i="6" s="1"/>
  <c r="F16" i="6"/>
  <c r="C13" i="4"/>
  <c r="C14" i="4" s="1"/>
  <c r="C12" i="4"/>
  <c r="C6" i="2"/>
  <c r="C6" i="6" s="1"/>
  <c r="C5" i="6"/>
  <c r="C15" i="2"/>
  <c r="C11" i="2"/>
  <c r="C6" i="3"/>
  <c r="D6" i="6" s="1"/>
  <c r="C25" i="3"/>
  <c r="D5" i="6"/>
  <c r="C16" i="4"/>
  <c r="C20" i="4" s="1"/>
  <c r="E17" i="6" s="1"/>
  <c r="C54" i="1"/>
  <c r="C12" i="3"/>
  <c r="C6" i="4"/>
  <c r="E6" i="6" s="1"/>
  <c r="C4" i="5"/>
  <c r="C7" i="5" s="1"/>
  <c r="C8" i="5" s="1"/>
  <c r="C9" i="5" s="1"/>
  <c r="C13" i="5" s="1"/>
  <c r="H4" i="7"/>
  <c r="C15" i="3"/>
  <c r="C19" i="3" s="1"/>
  <c r="C11" i="1"/>
  <c r="C29" i="1"/>
  <c r="C9" i="3" s="1"/>
  <c r="C28" i="4" l="1"/>
  <c r="C29" i="4" s="1"/>
  <c r="E23" i="6" s="1"/>
  <c r="F4" i="7"/>
  <c r="F7" i="6"/>
  <c r="C5" i="5"/>
  <c r="G4" i="7"/>
  <c r="C19" i="6"/>
  <c r="C12" i="2"/>
  <c r="B4" i="7"/>
  <c r="C13" i="6"/>
  <c r="C16" i="2"/>
  <c r="C23" i="6" s="1"/>
  <c r="C11" i="6"/>
  <c r="I4" i="7"/>
  <c r="D17" i="6"/>
  <c r="C21" i="3"/>
  <c r="C27" i="3"/>
  <c r="D11" i="6"/>
  <c r="F17" i="6"/>
  <c r="C16" i="5"/>
  <c r="C14" i="5"/>
  <c r="C15" i="4"/>
  <c r="C21" i="4"/>
  <c r="E18" i="6" s="1"/>
  <c r="E13" i="6" l="1"/>
  <c r="D13" i="6"/>
  <c r="C28" i="3"/>
  <c r="D23" i="6" s="1"/>
  <c r="D4" i="7"/>
  <c r="C4" i="7"/>
  <c r="B10" i="7"/>
  <c r="B5" i="7"/>
  <c r="C20" i="6"/>
  <c r="B14" i="7"/>
  <c r="B9" i="7"/>
  <c r="B15" i="7"/>
  <c r="B16" i="7"/>
  <c r="B11" i="7"/>
  <c r="B6" i="7"/>
  <c r="C17" i="2"/>
  <c r="B12" i="7"/>
  <c r="B7" i="7"/>
  <c r="B13" i="7"/>
  <c r="B8" i="7"/>
  <c r="D19" i="6"/>
  <c r="C22" i="3"/>
  <c r="F19" i="6"/>
  <c r="C17" i="5"/>
  <c r="C22" i="4"/>
  <c r="H10" i="7"/>
  <c r="H14" i="7"/>
  <c r="H5" i="7"/>
  <c r="I5" i="7" s="1"/>
  <c r="H16" i="7"/>
  <c r="H13" i="7"/>
  <c r="H11" i="7"/>
  <c r="H8" i="7"/>
  <c r="H6" i="7"/>
  <c r="H12" i="7"/>
  <c r="H9" i="7"/>
  <c r="H15" i="7"/>
  <c r="H7" i="7"/>
  <c r="I6" i="7" l="1"/>
  <c r="B19" i="7"/>
  <c r="C33" i="6" s="1"/>
  <c r="C5" i="7"/>
  <c r="C20" i="2"/>
  <c r="C29" i="6" s="1"/>
  <c r="I7" i="7"/>
  <c r="I8" i="7" s="1"/>
  <c r="I9" i="7" s="1"/>
  <c r="I10" i="7" s="1"/>
  <c r="B18" i="7"/>
  <c r="C32" i="6" s="1"/>
  <c r="F20" i="6"/>
  <c r="C22" i="5"/>
  <c r="C6" i="7"/>
  <c r="C7" i="7" s="1"/>
  <c r="C8" i="7" s="1"/>
  <c r="C9" i="7" s="1"/>
  <c r="C10" i="7" s="1"/>
  <c r="E4" i="7"/>
  <c r="C23" i="4"/>
  <c r="E19" i="6"/>
  <c r="C24" i="6"/>
  <c r="C18" i="2"/>
  <c r="C25" i="6" s="1"/>
  <c r="D16" i="7"/>
  <c r="D11" i="7"/>
  <c r="D6" i="7"/>
  <c r="D15" i="7"/>
  <c r="D10" i="7"/>
  <c r="D5" i="7"/>
  <c r="D20" i="6"/>
  <c r="C29" i="3"/>
  <c r="D12" i="7"/>
  <c r="D7" i="7"/>
  <c r="D13" i="7"/>
  <c r="D8" i="7"/>
  <c r="D14" i="7"/>
  <c r="D9" i="7"/>
  <c r="C25" i="5"/>
  <c r="F29" i="6" s="1"/>
  <c r="H18" i="7"/>
  <c r="F32" i="6" s="1"/>
  <c r="H19" i="7"/>
  <c r="F33" i="6" s="1"/>
  <c r="I11" i="7" l="1"/>
  <c r="I12" i="7" s="1"/>
  <c r="I13" i="7" s="1"/>
  <c r="I14" i="7" s="1"/>
  <c r="I15" i="7" s="1"/>
  <c r="I16" i="7" s="1"/>
  <c r="C24" i="5"/>
  <c r="F26" i="6" s="1"/>
  <c r="D19" i="7"/>
  <c r="D33" i="6" s="1"/>
  <c r="F12" i="7"/>
  <c r="F7" i="7"/>
  <c r="F16" i="7"/>
  <c r="F11" i="7"/>
  <c r="F6" i="7"/>
  <c r="E20" i="6"/>
  <c r="F13" i="7"/>
  <c r="F8" i="7"/>
  <c r="F14" i="7"/>
  <c r="F9" i="7"/>
  <c r="F15" i="7"/>
  <c r="F10" i="7"/>
  <c r="F5" i="7"/>
  <c r="C30" i="4"/>
  <c r="C32" i="3"/>
  <c r="D29" i="6" s="1"/>
  <c r="D18" i="7"/>
  <c r="D32" i="6" s="1"/>
  <c r="C11" i="7"/>
  <c r="C12" i="7" s="1"/>
  <c r="C13" i="7" s="1"/>
  <c r="C14" i="7" s="1"/>
  <c r="C15" i="7" s="1"/>
  <c r="C16" i="7" s="1"/>
  <c r="C19" i="2"/>
  <c r="C26" i="6" s="1"/>
  <c r="E5" i="7"/>
  <c r="E6" i="7" s="1"/>
  <c r="E7" i="7" s="1"/>
  <c r="E8" i="7" s="1"/>
  <c r="E9" i="7" s="1"/>
  <c r="E10" i="7" s="1"/>
  <c r="F24" i="6"/>
  <c r="C23" i="5"/>
  <c r="F25" i="6" s="1"/>
  <c r="D24" i="6"/>
  <c r="C30" i="3"/>
  <c r="D25" i="6" s="1"/>
  <c r="C31" i="3" l="1"/>
  <c r="D26" i="6" s="1"/>
  <c r="E11" i="7"/>
  <c r="E12" i="7" s="1"/>
  <c r="E13" i="7" s="1"/>
  <c r="E14" i="7" s="1"/>
  <c r="E15" i="7" s="1"/>
  <c r="E16" i="7" s="1"/>
  <c r="C33" i="4"/>
  <c r="E29" i="6" s="1"/>
  <c r="F18" i="7"/>
  <c r="E32" i="6" s="1"/>
  <c r="F19" i="7"/>
  <c r="E33" i="6" s="1"/>
  <c r="G5" i="7"/>
  <c r="G6" i="7" s="1"/>
  <c r="G7" i="7" s="1"/>
  <c r="G8" i="7" s="1"/>
  <c r="G9" i="7" s="1"/>
  <c r="G10" i="7" s="1"/>
  <c r="E24" i="6"/>
  <c r="C31" i="4"/>
  <c r="E25" i="6" s="1"/>
  <c r="G11" i="7" l="1"/>
  <c r="G12" i="7" s="1"/>
  <c r="G13" i="7" s="1"/>
  <c r="G14" i="7" s="1"/>
  <c r="G15" i="7" s="1"/>
  <c r="G16" i="7" s="1"/>
  <c r="C32" i="4"/>
  <c r="E26" i="6" s="1"/>
</calcChain>
</file>

<file path=xl/sharedStrings.xml><?xml version="1.0" encoding="utf-8"?>
<sst xmlns="http://schemas.openxmlformats.org/spreadsheetml/2006/main" count="351" uniqueCount="190">
  <si>
    <t>CALCULADORA BESS — LOAD SHIFT GRUPO A — 4 CENÁRIOS</t>
  </si>
  <si>
    <t>Amarelo = input  |  Verde = calculado  |  Salmão = gerador diesel</t>
  </si>
  <si>
    <t>TARIFAS</t>
  </si>
  <si>
    <t>Tarifa fora ponta</t>
  </si>
  <si>
    <t>R$/kWh</t>
  </si>
  <si>
    <t>Tarifa ponta</t>
  </si>
  <si>
    <t>CONSUMO</t>
  </si>
  <si>
    <t>Consumo na ponta</t>
  </si>
  <si>
    <t>kWh/mês</t>
  </si>
  <si>
    <t>Consumo fora ponta</t>
  </si>
  <si>
    <t>Total do cliente no período fora ponta</t>
  </si>
  <si>
    <t>Consumo para carregar BESS</t>
  </si>
  <si>
    <t>consumo ponta ÷ η round-trip</t>
  </si>
  <si>
    <t>Consumo fora ponta + BESS</t>
  </si>
  <si>
    <t>consumo FP atual + carga do BESS</t>
  </si>
  <si>
    <t>Dias úteis com ponta por mês</t>
  </si>
  <si>
    <t>dias</t>
  </si>
  <si>
    <t>Horas de ponta por dia</t>
  </si>
  <si>
    <t>h/dia</t>
  </si>
  <si>
    <t>SISTEMA BESS</t>
  </si>
  <si>
    <t>Profundidade de descarga (DoD)</t>
  </si>
  <si>
    <t>%</t>
  </si>
  <si>
    <t>η carga AC→DC</t>
  </si>
  <si>
    <t>Eficiência de carga do inversor (AC para DC)</t>
  </si>
  <si>
    <t>η bateria LFP</t>
  </si>
  <si>
    <t>Eficiência interna da bateria no ciclo</t>
  </si>
  <si>
    <t>η descarga DC→AC</t>
  </si>
  <si>
    <t>Eficiência de descarga do inversor (DC para AC)</t>
  </si>
  <si>
    <t>η round-trip (calculado)</t>
  </si>
  <si>
    <t>η carga × η bateria × η descarga</t>
  </si>
  <si>
    <t>Degradação anual da bateria</t>
  </si>
  <si>
    <t>%/ano</t>
  </si>
  <si>
    <t>Vida útil para análise</t>
  </si>
  <si>
    <t>anos</t>
  </si>
  <si>
    <t>Geração estimada por kWp</t>
  </si>
  <si>
    <t>kWh/kWp/mês</t>
  </si>
  <si>
    <t>Referência Brasil: 100–130 kWh/kWp/mês</t>
  </si>
  <si>
    <t>Custo solar instalado</t>
  </si>
  <si>
    <t>R$/kWp</t>
  </si>
  <si>
    <t>Solar — C2 (cobre só o BESS)</t>
  </si>
  <si>
    <t>kWp sugerido C2</t>
  </si>
  <si>
    <t>kWp</t>
  </si>
  <si>
    <t>consumo carregar BESS ÷ geração/kWp</t>
  </si>
  <si>
    <t>kWp instalado C2</t>
  </si>
  <si>
    <t>Geração solar mensal C2</t>
  </si>
  <si>
    <t>Solar — C3 (BESS + consumo FP)</t>
  </si>
  <si>
    <t>kWp sugerido C3</t>
  </si>
  <si>
    <t>(consumo carregar BESS + consumo FP) ÷ geração/kWp</t>
  </si>
  <si>
    <t>kWp instalado C3</t>
  </si>
  <si>
    <t>Geração solar mensal C3</t>
  </si>
  <si>
    <t>FINANCEIRO</t>
  </si>
  <si>
    <t>CAPEX BESS instalado por kWh</t>
  </si>
  <si>
    <t>O&amp;M anual (% do CAPEX total)</t>
  </si>
  <si>
    <t>Taxa de desconto (TMA)</t>
  </si>
  <si>
    <t>Reajuste tarifário anual</t>
  </si>
  <si>
    <t>GERADOR DIESEL — Cenário C4</t>
  </si>
  <si>
    <t>CAPEX gerador (compra + instalação)</t>
  </si>
  <si>
    <t>R$</t>
  </si>
  <si>
    <t>Fator de potência cos φ</t>
  </si>
  <si>
    <t>Padrão de mercado para geradores diesel</t>
  </si>
  <si>
    <t>Margem de segurança</t>
  </si>
  <si>
    <t>Para partida de motores e folga operacional</t>
  </si>
  <si>
    <t>Consumo específico (L/kWh)</t>
  </si>
  <si>
    <t>L/kWh</t>
  </si>
  <si>
    <t>Geradores modernos: 0,25–0,30 L/kWh</t>
  </si>
  <si>
    <t>Preço do diesel</t>
  </si>
  <si>
    <t>R$/L</t>
  </si>
  <si>
    <t>Ajuste pelo preço local atual</t>
  </si>
  <si>
    <t>Manutenção anual</t>
  </si>
  <si>
    <t>R$/ano</t>
  </si>
  <si>
    <t>Reajuste do diesel (%/ano)</t>
  </si>
  <si>
    <t>Diesel historicamente sobe mais que a tarifa elétrica</t>
  </si>
  <si>
    <t>Potência calculada do gerador</t>
  </si>
  <si>
    <t>kW</t>
  </si>
  <si>
    <t>mesmo critério do inversor BESS — consumo diário ÷ horas de ponta (sem DoD)</t>
  </si>
  <si>
    <t>kVA nominal calculado</t>
  </si>
  <si>
    <t>kVA</t>
  </si>
  <si>
    <t>(kW ÷ cos φ) × (1 + margem) — use para orçar o equipamento</t>
  </si>
  <si>
    <t>CENÁRIO 1 — BESS PURO  (sem fotovoltaico)</t>
  </si>
  <si>
    <t>DIMENSIONAMENTO DO BESS</t>
  </si>
  <si>
    <t>Consumo diário na ponta</t>
  </si>
  <si>
    <t>kWh/dia</t>
  </si>
  <si>
    <t>consumo ponta mensal ÷ dias úteis</t>
  </si>
  <si>
    <t>Capacidade nominal do BESS</t>
  </si>
  <si>
    <t>kWh</t>
  </si>
  <si>
    <t>consumo diário ÷ (η descarga × DoD)</t>
  </si>
  <si>
    <t>Potência do inversor</t>
  </si>
  <si>
    <t>capacidade ÷ horas de ponta</t>
  </si>
  <si>
    <t>ECONOMIA MENSAL</t>
  </si>
  <si>
    <t>Receita ponta evitada</t>
  </si>
  <si>
    <t>R$/mês</t>
  </si>
  <si>
    <t>consumo ponta × tarifa ponta</t>
  </si>
  <si>
    <t>(−) Custo recarga da rede</t>
  </si>
  <si>
    <t>consumo carregar BESS × tarifa FP</t>
  </si>
  <si>
    <t>Economia líquida mensal</t>
  </si>
  <si>
    <t>Economia líquida anual</t>
  </si>
  <si>
    <t>CAPEX E RETORNO</t>
  </si>
  <si>
    <t>CAPEX BESS</t>
  </si>
  <si>
    <t>O&amp;M anual</t>
  </si>
  <si>
    <t>Payback simples</t>
  </si>
  <si>
    <t>Payback com reajuste tarifário</t>
  </si>
  <si>
    <t>Considera reajuste tarifário e degradação — payback real</t>
  </si>
  <si>
    <t>Economia acumulada 12 anos</t>
  </si>
  <si>
    <t>Fluxos líquidos anuais somados — com reajuste tarifário e degradação da bateria</t>
  </si>
  <si>
    <t>CENÁRIO 2 — BESS + SOLAR PARA CARREGAR O BESS</t>
  </si>
  <si>
    <t>SOLAR E COMPENSAÇÃO</t>
  </si>
  <si>
    <t>mínimo para cobrir recarga do BESS</t>
  </si>
  <si>
    <t>Geração solar mensal</t>
  </si>
  <si>
    <t>Cobertura da recarga pelo solar</t>
  </si>
  <si>
    <t>mín(geração, consumo carregar BESS)</t>
  </si>
  <si>
    <t>Saldo solar após recarga</t>
  </si>
  <si>
    <t>excedente após cobrir o BESS</t>
  </si>
  <si>
    <t>Abatimento no consumo FP</t>
  </si>
  <si>
    <t>saldo que abate consumo FP via compensação</t>
  </si>
  <si>
    <t>Recarga residual da rede</t>
  </si>
  <si>
    <t>(−) Custo recarga residual</t>
  </si>
  <si>
    <t>Economia FP pelo saldo solar</t>
  </si>
  <si>
    <t>CAPEX solar C2</t>
  </si>
  <si>
    <t>CAPEX total</t>
  </si>
  <si>
    <t>CENÁRIO 3 — BESS + SOLAR PARA BESS E CONSUMO FORA PONTA</t>
  </si>
  <si>
    <t>mínimo para cobrir BESS e consumo FP</t>
  </si>
  <si>
    <t>Consumo FP remanescente pago</t>
  </si>
  <si>
    <t>Economia FP = abatimento solar</t>
  </si>
  <si>
    <t>CAPEX solar C3</t>
  </si>
  <si>
    <t>CENÁRIO 4 — GERADOR DIESEL  (comparativo)</t>
  </si>
  <si>
    <t>DIMENSIONAMENTO DO GERADOR</t>
  </si>
  <si>
    <t>Potência calculada (kW)</t>
  </si>
  <si>
    <t>consumo ponta ÷ dias úteis ÷ horas ponta — sem DoD, gerador entrega em tempo real</t>
  </si>
  <si>
    <t>kVA nominal para instalação</t>
  </si>
  <si>
    <t>Horas de operação mensal</t>
  </si>
  <si>
    <t>h/mês</t>
  </si>
  <si>
    <t>horas de ponta/dia × dias úteis/mês</t>
  </si>
  <si>
    <t>Consumo diesel por hora</t>
  </si>
  <si>
    <t>L/h</t>
  </si>
  <si>
    <t>potência kW × consumo específico L/kWh</t>
  </si>
  <si>
    <t>Consumo diesel mensal</t>
  </si>
  <si>
    <t>L</t>
  </si>
  <si>
    <t>L/h × horas de operação mensal</t>
  </si>
  <si>
    <t>Custo combustível mensal</t>
  </si>
  <si>
    <t>litros × preço diesel</t>
  </si>
  <si>
    <t>(−) Custo combustível</t>
  </si>
  <si>
    <t>Receita ponta anual (base)</t>
  </si>
  <si>
    <t>base para o fluxo de caixa com reajuste tarifário</t>
  </si>
  <si>
    <t>Custo diesel anual (base)</t>
  </si>
  <si>
    <t>base para o fluxo com reajuste do diesel</t>
  </si>
  <si>
    <t>CAPEX gerador</t>
  </si>
  <si>
    <t>COMPARATIVO — C1 BESS  ×  C2 Solar→BESS  ×  C3 Solar→FP  ×  C4 Diesel</t>
  </si>
  <si>
    <t>C1 — BESS Puro</t>
  </si>
  <si>
    <t>C2 — Solar→BESS</t>
  </si>
  <si>
    <t>C3 — Solar→FP</t>
  </si>
  <si>
    <t>C4 — Gerador</t>
  </si>
  <si>
    <t>SISTEMA</t>
  </si>
  <si>
    <t>Capacidade BESS (kWh)</t>
  </si>
  <si>
    <t>—</t>
  </si>
  <si>
    <t>Potência inversor / gerador (kW)</t>
  </si>
  <si>
    <t>kVA nominal gerador</t>
  </si>
  <si>
    <t>kWp solar instalado</t>
  </si>
  <si>
    <t>CAPEX</t>
  </si>
  <si>
    <t>CAPEX BESS (R$)</t>
  </si>
  <si>
    <t>CAPEX Solar / Gerador (R$)</t>
  </si>
  <si>
    <t>CAPEX Total (R$)</t>
  </si>
  <si>
    <t>(−) Custo variável</t>
  </si>
  <si>
    <t>BESS = recarga FP | Diesel = combustível</t>
  </si>
  <si>
    <t>Economia FP solar</t>
  </si>
  <si>
    <t>Economia mensal</t>
  </si>
  <si>
    <t>Economia anual</t>
  </si>
  <si>
    <t>RETORNO FINANCEIRO</t>
  </si>
  <si>
    <t>O&amp;M / Manutenção anual (R$)</t>
  </si>
  <si>
    <t>ECONOMIA ACUMULADA 12 ANOS</t>
  </si>
  <si>
    <t>Com reajuste tarifário + degradação — fluxos líquidos anuais somados</t>
  </si>
  <si>
    <t>INDICADORES — projeção 12 anos</t>
  </si>
  <si>
    <t>VPL — Valor Presente Líquido</t>
  </si>
  <si>
    <t>TIR — Taxa Interna de Retorno</t>
  </si>
  <si>
    <t>FLUXO DE CAIXA ACUMULADO — COMPARAÇÃO DOS 4 CENÁRIOS</t>
  </si>
  <si>
    <t>Ano</t>
  </si>
  <si>
    <t>C1 Liq.</t>
  </si>
  <si>
    <t>C1 Acum.</t>
  </si>
  <si>
    <t>C2 Liq.</t>
  </si>
  <si>
    <t>C2 Acum.</t>
  </si>
  <si>
    <t>C3 Liq.</t>
  </si>
  <si>
    <t>C3 Acum.</t>
  </si>
  <si>
    <t>C4 Liq.</t>
  </si>
  <si>
    <t>C4 Acum.</t>
  </si>
  <si>
    <t>VPL (NPV)</t>
  </si>
  <si>
    <t>TIR (IRR)</t>
  </si>
  <si>
    <t>SISTEMA SOLAR - PREMISSAS PARA OS CENÁRIOS C2 E C3</t>
  </si>
  <si>
    <t>C&amp;I 2025: R$ 1.800 – 2.500/kWp instalado</t>
  </si>
  <si>
    <t>Óleo, filtros, revisões — típico 3% a 7% do CAPEX/ano</t>
  </si>
  <si>
    <t>Inclui ART, quadro e instalação elétrica ( R$ 1.500 a R$ 2.800/kVA )</t>
  </si>
  <si>
    <t>Economia Bruta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</si>
</sst>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0.0%"/>
    <numFmt numFmtId="166" formatCode="&quot;R$ &quot;#,##0"/>
    <numFmt numFmtId="167" formatCode="#,##0.0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888888"/>
      <name val="Arial"/>
      <family val="2"/>
    </font>
    <font>
      <i/>
      <sz val="9"/>
      <color rgb="FF888888"/>
      <name val="Arial"/>
      <family val="2"/>
    </font>
    <font>
      <b/>
      <sz val="13"/>
      <color rgb="FF276221"/>
      <name val="Arial"/>
      <family val="2"/>
    </font>
    <font>
      <b/>
      <sz val="13"/>
      <color rgb="FF9C6500"/>
      <name val="Arial"/>
      <family val="2"/>
    </font>
    <font>
      <b/>
      <sz val="12"/>
      <color rgb="FF1F4E79"/>
      <name val="Arial"/>
      <family val="2"/>
    </font>
    <font>
      <b/>
      <sz val="10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D9E1F2"/>
        <bgColor rgb="FFDAEEF3"/>
      </patternFill>
    </fill>
    <fill>
      <patternFill patternType="solid">
        <fgColor rgb="FFFFFACD"/>
        <bgColor rgb="FFF2F2F2"/>
      </patternFill>
    </fill>
    <fill>
      <patternFill patternType="solid">
        <fgColor rgb="FFD5F5E3"/>
        <bgColor rgb="FFDAEEF3"/>
      </patternFill>
    </fill>
    <fill>
      <patternFill patternType="solid">
        <fgColor rgb="FFC6EFCE"/>
        <bgColor rgb="FFD5F5E3"/>
      </patternFill>
    </fill>
    <fill>
      <patternFill patternType="solid">
        <fgColor rgb="FFFBE4D5"/>
        <bgColor rgb="FFFCE4D6"/>
      </patternFill>
    </fill>
    <fill>
      <patternFill patternType="solid">
        <fgColor rgb="FFE2EFDA"/>
        <bgColor rgb="FFD5F5E3"/>
      </patternFill>
    </fill>
    <fill>
      <patternFill patternType="solid">
        <fgColor rgb="FFFFEB9C"/>
        <bgColor rgb="FFFBE4D5"/>
      </patternFill>
    </fill>
    <fill>
      <patternFill patternType="solid">
        <fgColor rgb="FFDAEEF3"/>
        <bgColor rgb="FFD5F5E3"/>
      </patternFill>
    </fill>
    <fill>
      <patternFill patternType="solid">
        <fgColor rgb="FF2E4057"/>
        <bgColor rgb="FF1F4E79"/>
      </patternFill>
    </fill>
    <fill>
      <patternFill patternType="solid">
        <fgColor rgb="FF843C0C"/>
        <bgColor rgb="FF993366"/>
      </patternFill>
    </fill>
    <fill>
      <patternFill patternType="solid">
        <fgColor rgb="FFFCE4D6"/>
        <bgColor rgb="FFFBE4D5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4" fillId="0" borderId="0" xfId="0" applyFont="1"/>
    <xf numFmtId="164" fontId="5" fillId="4" borderId="0" xfId="0" applyNumberFormat="1" applyFont="1" applyFill="1"/>
    <xf numFmtId="0" fontId="6" fillId="0" borderId="0" xfId="0" applyFont="1"/>
    <xf numFmtId="3" fontId="5" fillId="4" borderId="0" xfId="0" applyNumberFormat="1" applyFont="1" applyFill="1"/>
    <xf numFmtId="0" fontId="7" fillId="0" borderId="0" xfId="0" applyFont="1"/>
    <xf numFmtId="3" fontId="4" fillId="5" borderId="0" xfId="0" applyNumberFormat="1" applyFont="1" applyFill="1"/>
    <xf numFmtId="165" fontId="5" fillId="4" borderId="0" xfId="0" applyNumberFormat="1" applyFont="1" applyFill="1"/>
    <xf numFmtId="165" fontId="4" fillId="5" borderId="0" xfId="0" applyNumberFormat="1" applyFont="1" applyFill="1"/>
    <xf numFmtId="3" fontId="5" fillId="5" borderId="0" xfId="0" applyNumberFormat="1" applyFont="1" applyFill="1"/>
    <xf numFmtId="166" fontId="5" fillId="5" borderId="0" xfId="0" applyNumberFormat="1" applyFont="1" applyFill="1"/>
    <xf numFmtId="167" fontId="4" fillId="5" borderId="0" xfId="0" applyNumberFormat="1" applyFont="1" applyFill="1"/>
    <xf numFmtId="167" fontId="5" fillId="5" borderId="0" xfId="0" applyNumberFormat="1" applyFont="1" applyFill="1"/>
    <xf numFmtId="166" fontId="5" fillId="4" borderId="0" xfId="0" applyNumberFormat="1" applyFont="1" applyFill="1"/>
    <xf numFmtId="166" fontId="5" fillId="7" borderId="0" xfId="0" applyNumberFormat="1" applyFont="1" applyFill="1"/>
    <xf numFmtId="165" fontId="5" fillId="7" borderId="0" xfId="0" applyNumberFormat="1" applyFont="1" applyFill="1"/>
    <xf numFmtId="167" fontId="5" fillId="7" borderId="0" xfId="0" applyNumberFormat="1" applyFont="1" applyFill="1"/>
    <xf numFmtId="164" fontId="5" fillId="7" borderId="0" xfId="0" applyNumberFormat="1" applyFont="1" applyFill="1"/>
    <xf numFmtId="167" fontId="4" fillId="0" borderId="0" xfId="0" applyNumberFormat="1" applyFont="1"/>
    <xf numFmtId="164" fontId="4" fillId="0" borderId="0" xfId="0" applyNumberFormat="1" applyFont="1"/>
    <xf numFmtId="0" fontId="3" fillId="0" borderId="0" xfId="0" applyFont="1"/>
    <xf numFmtId="164" fontId="3" fillId="8" borderId="0" xfId="0" applyNumberFormat="1" applyFont="1" applyFill="1"/>
    <xf numFmtId="166" fontId="3" fillId="0" borderId="0" xfId="0" applyNumberFormat="1" applyFont="1"/>
    <xf numFmtId="49" fontId="8" fillId="6" borderId="0" xfId="0" applyNumberFormat="1" applyFont="1" applyFill="1" applyAlignment="1">
      <alignment horizontal="center" vertical="center"/>
    </xf>
    <xf numFmtId="49" fontId="9" fillId="9" borderId="0" xfId="0" applyNumberFormat="1" applyFont="1" applyFill="1" applyAlignment="1">
      <alignment horizontal="center" vertical="center"/>
    </xf>
    <xf numFmtId="166" fontId="10" fillId="10" borderId="0" xfId="0" applyNumberFormat="1" applyFont="1" applyFill="1" applyAlignment="1">
      <alignment horizontal="center" vertical="center"/>
    </xf>
    <xf numFmtId="3" fontId="4" fillId="0" borderId="0" xfId="0" applyNumberFormat="1" applyFont="1"/>
    <xf numFmtId="166" fontId="4" fillId="0" borderId="0" xfId="0" applyNumberFormat="1" applyFont="1"/>
    <xf numFmtId="0" fontId="11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8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9" borderId="0" xfId="0" applyNumberFormat="1" applyFont="1" applyFill="1" applyAlignment="1">
      <alignment horizontal="center" vertical="center"/>
    </xf>
    <xf numFmtId="166" fontId="3" fillId="10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166" fontId="4" fillId="13" borderId="0" xfId="0" applyNumberFormat="1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166" fontId="4" fillId="14" borderId="0" xfId="0" applyNumberFormat="1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166" fontId="4" fillId="15" borderId="0" xfId="0" applyNumberFormat="1" applyFont="1" applyFill="1" applyAlignment="1">
      <alignment horizontal="center" vertical="center"/>
    </xf>
    <xf numFmtId="0" fontId="3" fillId="8" borderId="0" xfId="0" applyFont="1" applyFill="1"/>
    <xf numFmtId="0" fontId="0" fillId="8" borderId="0" xfId="0" applyFill="1"/>
    <xf numFmtId="165" fontId="3" fillId="8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9C6500"/>
      <rgbColor rgb="FF800080"/>
      <rgbColor rgb="FF008080"/>
      <rgbColor rgb="FFD9E1F2"/>
      <rgbColor rgb="FF878787"/>
      <rgbColor rgb="FF9999FF"/>
      <rgbColor rgb="FF993366"/>
      <rgbColor rgb="FFFFFACD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D5F5E3"/>
      <rgbColor rgb="FFFFEB9C"/>
      <rgbColor rgb="FFE2EFDA"/>
      <rgbColor rgb="FFFCE4D6"/>
      <rgbColor rgb="FFF2F2F2"/>
      <rgbColor rgb="FFFBE4D5"/>
      <rgbColor rgb="FF3366FF"/>
      <rgbColor rgb="FF4BACC6"/>
      <rgbColor rgb="FF99CC00"/>
      <rgbColor rgb="FFFFCC00"/>
      <rgbColor rgb="FFFF9900"/>
      <rgbColor rgb="FFFF6600"/>
      <rgbColor rgb="FF666666"/>
      <rgbColor rgb="FF888888"/>
      <rgbColor rgb="FF003366"/>
      <rgbColor rgb="FF70AD47"/>
      <rgbColor rgb="FF003300"/>
      <rgbColor rgb="FF333300"/>
      <rgbColor rgb="FF843C0C"/>
      <rgbColor rgb="FF993366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Fluxo de Caixa Acumulado — Comparação dos 4 Cenários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'Fluxo de Caixa'!$C$3</c:f>
              <c:strCache>
                <c:ptCount val="1"/>
                <c:pt idx="0">
                  <c:v>C1 Acum.</c:v>
                </c:pt>
              </c:strCache>
            </c:strRef>
          </c:tx>
          <c:spPr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'Fluxo de Caixa'!$A$4:$A$16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'Fluxo de Caixa'!$C$4:$C$16</c:f>
              <c:numCache>
                <c:formatCode>"R$ "#,##0</c:formatCode>
                <c:ptCount val="13"/>
                <c:pt idx="0">
                  <c:v>-446428.57142857142</c:v>
                </c:pt>
                <c:pt idx="1">
                  <c:v>-274112.07792207797</c:v>
                </c:pt>
                <c:pt idx="2">
                  <c:v>-93312.520688311721</c:v>
                </c:pt>
                <c:pt idx="3">
                  <c:v>96382.377169872663</c:v>
                </c:pt>
                <c:pt idx="4">
                  <c:v>295404.92920682195</c:v>
                </c:pt>
                <c:pt idx="5">
                  <c:v>504208.45941562409</c:v>
                </c:pt>
                <c:pt idx="6">
                  <c:v>723268.32333543117</c:v>
                </c:pt>
                <c:pt idx="7">
                  <c:v>953082.97878459794</c:v>
                </c:pt>
                <c:pt idx="8">
                  <c:v>1194175.1086314514</c:v>
                </c:pt>
                <c:pt idx="9">
                  <c:v>1447092.798131719</c:v>
                </c:pt>
                <c:pt idx="10">
                  <c:v>1712410.769484557</c:v>
                </c:pt>
                <c:pt idx="11">
                  <c:v>1990731.6763879999</c:v>
                </c:pt>
                <c:pt idx="12">
                  <c:v>2282687.4615098075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17-6D4E-B83C-E27CEBD58ABD}"/>
            </c:ext>
          </c:extLst>
        </c:ser>
        <c:ser>
          <c:idx val="1"/>
          <c:order val="1"/>
          <c:tx>
            <c:strRef>
              <c:f>'Fluxo de Caixa'!$E$3</c:f>
              <c:strCache>
                <c:ptCount val="1"/>
                <c:pt idx="0">
                  <c:v>C2 Acum.</c:v>
                </c:pt>
              </c:strCache>
            </c:strRef>
          </c:tx>
          <c:spPr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'Fluxo de Caixa'!$A$4:$A$16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'Fluxo de Caixa'!$E$4:$E$16</c:f>
              <c:numCache>
                <c:formatCode>"R$ "#,##0</c:formatCode>
                <c:ptCount val="13"/>
                <c:pt idx="0">
                  <c:v>-530428.57142857136</c:v>
                </c:pt>
                <c:pt idx="1">
                  <c:v>-322244.07792207785</c:v>
                </c:pt>
                <c:pt idx="2">
                  <c:v>-103812.92388831163</c:v>
                </c:pt>
                <c:pt idx="3">
                  <c:v>125362.87837435276</c:v>
                </c:pt>
                <c:pt idx="4">
                  <c:v>365805.51876983978</c:v>
                </c:pt>
                <c:pt idx="5">
                  <c:v>618062.56563140452</c:v>
                </c:pt>
                <c:pt idx="6">
                  <c:v>882708.19911329856</c:v>
                </c:pt>
                <c:pt idx="7">
                  <c:v>1160344.5045252698</c:v>
                </c:pt>
                <c:pt idx="8">
                  <c:v>1451602.8285231199</c:v>
                </c:pt>
                <c:pt idx="9">
                  <c:v>1757145.2012101226</c:v>
                </c:pt>
                <c:pt idx="10">
                  <c:v>2077665.8273525708</c:v>
                </c:pt>
                <c:pt idx="11">
                  <c:v>2413892.650068399</c:v>
                </c:pt>
                <c:pt idx="12">
                  <c:v>2766588.9905110737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E17-6D4E-B83C-E27CEBD58ABD}"/>
            </c:ext>
          </c:extLst>
        </c:ser>
        <c:ser>
          <c:idx val="2"/>
          <c:order val="2"/>
          <c:tx>
            <c:strRef>
              <c:f>'Fluxo de Caixa'!$G$3</c:f>
              <c:strCache>
                <c:ptCount val="1"/>
                <c:pt idx="0">
                  <c:v>C3 Acum.</c:v>
                </c:pt>
              </c:strCache>
            </c:strRef>
          </c:tx>
          <c:spPr>
            <a:ln w="21960">
              <a:solidFill>
                <a:srgbClr val="4BACC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'Fluxo de Caixa'!$A$4:$A$16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'Fluxo de Caixa'!$G$4:$G$16</c:f>
              <c:numCache>
                <c:formatCode>"R$ "#,##0</c:formatCode>
                <c:ptCount val="13"/>
                <c:pt idx="0">
                  <c:v>-1030428.5714285714</c:v>
                </c:pt>
                <c:pt idx="1">
                  <c:v>-609520.7142857142</c:v>
                </c:pt>
                <c:pt idx="2">
                  <c:v>-167906.34114285704</c:v>
                </c:pt>
                <c:pt idx="3">
                  <c:v>295420.88467760012</c:v>
                </c:pt>
                <c:pt idx="4">
                  <c:v>781516.20781578869</c:v>
                </c:pt>
                <c:pt idx="5">
                  <c:v>1291486.1578013501</c:v>
                </c:pt>
                <c:pt idx="6">
                  <c:v>1826491.0414990671</c:v>
                </c:pt>
                <c:pt idx="7">
                  <c:v>2387747.5566873504</c:v>
                </c:pt>
                <c:pt idx="8">
                  <c:v>2976531.5326566412</c:v>
                </c:pt>
                <c:pt idx="9">
                  <c:v>3594180.8040008969</c:v>
                </c:pt>
                <c:pt idx="10">
                  <c:v>4242098.2240753407</c:v>
                </c:pt>
                <c:pt idx="11">
                  <c:v>4921754.8249082593</c:v>
                </c:pt>
                <c:pt idx="12">
                  <c:v>5634693.1306845145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E17-6D4E-B83C-E27CEBD58ABD}"/>
            </c:ext>
          </c:extLst>
        </c:ser>
        <c:ser>
          <c:idx val="3"/>
          <c:order val="3"/>
          <c:tx>
            <c:strRef>
              <c:f>'Fluxo de Caixa'!$I$3</c:f>
              <c:strCache>
                <c:ptCount val="1"/>
                <c:pt idx="0">
                  <c:v>C4 Acum.</c:v>
                </c:pt>
              </c:strCache>
            </c:strRef>
          </c:tx>
          <c:spPr>
            <a:ln w="21960">
              <a:solidFill>
                <a:srgbClr val="843C0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'Fluxo de Caixa'!$A$4:$A$16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'Fluxo de Caixa'!$I$4:$I$16</c:f>
              <c:numCache>
                <c:formatCode>"R$ "#,##0</c:formatCode>
                <c:ptCount val="13"/>
                <c:pt idx="0">
                  <c:v>-220000</c:v>
                </c:pt>
                <c:pt idx="1">
                  <c:v>-130316.00000000003</c:v>
                </c:pt>
                <c:pt idx="2">
                  <c:v>-33654.120000000054</c:v>
                </c:pt>
                <c:pt idx="3">
                  <c:v>70474.091599999927</c:v>
                </c:pt>
                <c:pt idx="4">
                  <c:v>182591.27801199991</c:v>
                </c:pt>
                <c:pt idx="5">
                  <c:v>303256.66747283982</c:v>
                </c:pt>
                <c:pt idx="6">
                  <c:v>433068.63419593859</c:v>
                </c:pt>
                <c:pt idx="7">
                  <c:v>572667.43858965428</c:v>
                </c:pt>
                <c:pt idx="8">
                  <c:v>722738.15929093002</c:v>
                </c:pt>
                <c:pt idx="9">
                  <c:v>884013.83044129517</c:v>
                </c:pt>
                <c:pt idx="10">
                  <c:v>1057278.7985721859</c:v>
                </c:pt>
                <c:pt idx="11">
                  <c:v>1243372.314472239</c:v>
                </c:pt>
                <c:pt idx="12">
                  <c:v>1443192.3764852958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E17-6D4E-B83C-E27CEBD58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621955"/>
        <c:axId val="15974276"/>
      </c:lineChart>
      <c:catAx>
        <c:axId val="71621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974276"/>
        <c:crosses val="autoZero"/>
        <c:auto val="1"/>
        <c:lblAlgn val="ctr"/>
        <c:lblOffset val="100"/>
        <c:noMultiLvlLbl val="0"/>
      </c:catAx>
      <c:valAx>
        <c:axId val="15974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16219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2195723</xdr:colOff>
      <xdr:row>23</xdr:row>
      <xdr:rowOff>86469</xdr:rowOff>
    </xdr:from>
    <xdr:to>
      <xdr:col>5</xdr:col>
      <xdr:colOff>550843</xdr:colOff>
      <xdr:row>27</xdr:row>
      <xdr:rowOff>30658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83B0791-9771-57A9-305C-E1A37DA0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627" y="4753336"/>
          <a:ext cx="2318132" cy="7475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7</xdr:col>
      <xdr:colOff>1027080</xdr:colOff>
      <xdr:row>46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8F3637-D051-4E47-BE93-41DECDBD8DE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1899d94-fa46-477d-90ba-8743932d91a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4"/>
  <sheetViews>
    <sheetView tabSelected="1" zoomScale="166" zoomScaleNormal="100" workbookViewId="0">
      <selection activeCell="C52" sqref="C52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3" width="16" customWidth="1"/>
    <col min="4" max="4" width="20" customWidth="1"/>
    <col min="5" max="5" width="52" customWidth="1"/>
  </cols>
  <sheetData>
    <row r="1" spans="2:5" ht="27.75" customHeight="1" x14ac:dyDescent="0.2">
      <c r="B1" s="51" t="s">
        <v>0</v>
      </c>
      <c r="C1" s="51"/>
      <c r="D1" s="51"/>
      <c r="E1" s="51"/>
    </row>
    <row r="2" spans="2:5" x14ac:dyDescent="0.2">
      <c r="B2" s="1" t="s">
        <v>1</v>
      </c>
    </row>
    <row r="3" spans="2:5" ht="18" customHeight="1" x14ac:dyDescent="0.2">
      <c r="B3" s="49" t="s">
        <v>2</v>
      </c>
      <c r="C3" s="49"/>
      <c r="D3" s="49"/>
      <c r="E3" s="49"/>
    </row>
    <row r="4" spans="2:5" x14ac:dyDescent="0.2">
      <c r="B4" s="2" t="s">
        <v>3</v>
      </c>
      <c r="C4" s="3">
        <v>0.6</v>
      </c>
      <c r="D4" s="4" t="s">
        <v>4</v>
      </c>
    </row>
    <row r="5" spans="2:5" x14ac:dyDescent="0.2">
      <c r="B5" s="2" t="s">
        <v>5</v>
      </c>
      <c r="C5" s="3">
        <v>3.89</v>
      </c>
      <c r="D5" s="4" t="s">
        <v>4</v>
      </c>
    </row>
    <row r="7" spans="2:5" ht="18" customHeight="1" x14ac:dyDescent="0.2">
      <c r="B7" s="49" t="s">
        <v>6</v>
      </c>
      <c r="C7" s="49"/>
      <c r="D7" s="49"/>
      <c r="E7" s="49"/>
    </row>
    <row r="8" spans="2:5" x14ac:dyDescent="0.2">
      <c r="B8" s="2" t="s">
        <v>7</v>
      </c>
      <c r="C8" s="5">
        <v>4500</v>
      </c>
      <c r="D8" s="4" t="s">
        <v>8</v>
      </c>
    </row>
    <row r="9" spans="2:5" x14ac:dyDescent="0.2">
      <c r="B9" s="2" t="s">
        <v>9</v>
      </c>
      <c r="C9" s="5">
        <v>30000</v>
      </c>
      <c r="D9" s="4" t="s">
        <v>8</v>
      </c>
      <c r="E9" s="6" t="s">
        <v>10</v>
      </c>
    </row>
    <row r="10" spans="2:5" x14ac:dyDescent="0.2">
      <c r="B10" s="2" t="s">
        <v>11</v>
      </c>
      <c r="C10" s="7">
        <f>IFERROR(C8/C20,0)</f>
        <v>4932.1338383838392</v>
      </c>
      <c r="D10" s="4" t="s">
        <v>8</v>
      </c>
      <c r="E10" s="6" t="s">
        <v>12</v>
      </c>
    </row>
    <row r="11" spans="2:5" x14ac:dyDescent="0.2">
      <c r="B11" s="2" t="s">
        <v>13</v>
      </c>
      <c r="C11" s="7">
        <f>IFERROR(C9+C10,0)</f>
        <v>34932.133838383837</v>
      </c>
      <c r="D11" s="4" t="s">
        <v>8</v>
      </c>
      <c r="E11" s="6" t="s">
        <v>14</v>
      </c>
    </row>
    <row r="12" spans="2:5" x14ac:dyDescent="0.2">
      <c r="B12" s="2" t="s">
        <v>15</v>
      </c>
      <c r="C12" s="5">
        <v>21</v>
      </c>
      <c r="D12" s="4" t="s">
        <v>16</v>
      </c>
    </row>
    <row r="13" spans="2:5" x14ac:dyDescent="0.2">
      <c r="B13" s="2" t="s">
        <v>17</v>
      </c>
      <c r="C13" s="5">
        <v>3</v>
      </c>
      <c r="D13" s="4" t="s">
        <v>18</v>
      </c>
    </row>
    <row r="15" spans="2:5" ht="18" customHeight="1" x14ac:dyDescent="0.2">
      <c r="B15" s="49" t="s">
        <v>19</v>
      </c>
      <c r="C15" s="49"/>
      <c r="D15" s="49"/>
      <c r="E15" s="49"/>
    </row>
    <row r="16" spans="2:5" x14ac:dyDescent="0.2">
      <c r="B16" s="2" t="s">
        <v>20</v>
      </c>
      <c r="C16" s="8">
        <v>0.9</v>
      </c>
      <c r="D16" s="4" t="s">
        <v>21</v>
      </c>
    </row>
    <row r="17" spans="2:5" x14ac:dyDescent="0.2">
      <c r="B17" s="2" t="s">
        <v>22</v>
      </c>
      <c r="C17" s="8">
        <v>0.96</v>
      </c>
      <c r="D17" s="4" t="s">
        <v>21</v>
      </c>
      <c r="E17" s="6" t="s">
        <v>23</v>
      </c>
    </row>
    <row r="18" spans="2:5" x14ac:dyDescent="0.2">
      <c r="B18" s="2" t="s">
        <v>24</v>
      </c>
      <c r="C18" s="8">
        <v>0.99</v>
      </c>
      <c r="D18" s="4" t="s">
        <v>21</v>
      </c>
      <c r="E18" s="6" t="s">
        <v>25</v>
      </c>
    </row>
    <row r="19" spans="2:5" x14ac:dyDescent="0.2">
      <c r="B19" s="2" t="s">
        <v>26</v>
      </c>
      <c r="C19" s="8">
        <v>0.96</v>
      </c>
      <c r="D19" s="4" t="s">
        <v>21</v>
      </c>
      <c r="E19" s="6" t="s">
        <v>27</v>
      </c>
    </row>
    <row r="20" spans="2:5" x14ac:dyDescent="0.2">
      <c r="B20" s="2" t="s">
        <v>28</v>
      </c>
      <c r="C20" s="9">
        <f>C17*C18*C19</f>
        <v>0.91238399999999986</v>
      </c>
      <c r="D20" s="4" t="s">
        <v>21</v>
      </c>
      <c r="E20" s="6" t="s">
        <v>29</v>
      </c>
    </row>
    <row r="21" spans="2:5" x14ac:dyDescent="0.2">
      <c r="B21" s="2" t="s">
        <v>30</v>
      </c>
      <c r="C21" s="8">
        <v>0.02</v>
      </c>
      <c r="D21" s="4" t="s">
        <v>31</v>
      </c>
    </row>
    <row r="22" spans="2:5" x14ac:dyDescent="0.2">
      <c r="B22" s="2" t="s">
        <v>32</v>
      </c>
      <c r="C22" s="5">
        <v>12</v>
      </c>
      <c r="D22" s="4" t="s">
        <v>33</v>
      </c>
    </row>
    <row r="24" spans="2:5" ht="18" customHeight="1" x14ac:dyDescent="0.2">
      <c r="B24" s="48" t="s">
        <v>185</v>
      </c>
      <c r="C24" s="48"/>
      <c r="D24" s="48"/>
      <c r="E24" s="48"/>
    </row>
    <row r="25" spans="2:5" x14ac:dyDescent="0.2">
      <c r="B25" s="2" t="s">
        <v>34</v>
      </c>
      <c r="C25" s="10">
        <v>120</v>
      </c>
      <c r="D25" s="4" t="s">
        <v>35</v>
      </c>
      <c r="E25" s="6" t="s">
        <v>36</v>
      </c>
    </row>
    <row r="26" spans="2:5" x14ac:dyDescent="0.2">
      <c r="B26" s="2" t="s">
        <v>37</v>
      </c>
      <c r="C26" s="11">
        <v>2000</v>
      </c>
      <c r="D26" s="4" t="s">
        <v>38</v>
      </c>
      <c r="E26" s="6" t="s">
        <v>186</v>
      </c>
    </row>
    <row r="28" spans="2:5" ht="18" customHeight="1" x14ac:dyDescent="0.2">
      <c r="B28" s="48" t="s">
        <v>39</v>
      </c>
      <c r="C28" s="48"/>
      <c r="D28" s="48"/>
      <c r="E28" s="48"/>
    </row>
    <row r="29" spans="2:5" x14ac:dyDescent="0.2">
      <c r="B29" s="2" t="s">
        <v>40</v>
      </c>
      <c r="C29" s="12">
        <f>IFERROR(C10/C25,0)</f>
        <v>41.101115319865329</v>
      </c>
      <c r="D29" s="4" t="s">
        <v>41</v>
      </c>
      <c r="E29" s="6" t="s">
        <v>42</v>
      </c>
    </row>
    <row r="30" spans="2:5" x14ac:dyDescent="0.2">
      <c r="B30" s="2" t="s">
        <v>43</v>
      </c>
      <c r="C30" s="13">
        <v>42</v>
      </c>
      <c r="D30" s="4" t="s">
        <v>41</v>
      </c>
    </row>
    <row r="31" spans="2:5" x14ac:dyDescent="0.2">
      <c r="B31" s="2" t="s">
        <v>44</v>
      </c>
      <c r="C31" s="7">
        <f>IFERROR(C30*C25,0)</f>
        <v>5040</v>
      </c>
      <c r="D31" s="4" t="s">
        <v>8</v>
      </c>
    </row>
    <row r="33" spans="2:5" ht="18" customHeight="1" x14ac:dyDescent="0.2">
      <c r="B33" s="48" t="s">
        <v>45</v>
      </c>
      <c r="C33" s="48"/>
      <c r="D33" s="48"/>
      <c r="E33" s="48"/>
    </row>
    <row r="34" spans="2:5" x14ac:dyDescent="0.2">
      <c r="B34" s="2" t="s">
        <v>46</v>
      </c>
      <c r="C34" s="12">
        <f>IFERROR((C10+C9)/C25,0)</f>
        <v>291.1011153198653</v>
      </c>
      <c r="D34" s="4" t="s">
        <v>41</v>
      </c>
      <c r="E34" s="6" t="s">
        <v>47</v>
      </c>
    </row>
    <row r="35" spans="2:5" x14ac:dyDescent="0.2">
      <c r="B35" s="2" t="s">
        <v>48</v>
      </c>
      <c r="C35" s="13">
        <v>292</v>
      </c>
      <c r="D35" s="4" t="s">
        <v>41</v>
      </c>
    </row>
    <row r="36" spans="2:5" x14ac:dyDescent="0.2">
      <c r="B36" s="2" t="s">
        <v>49</v>
      </c>
      <c r="C36" s="7">
        <f>IFERROR(C35*C25,0)</f>
        <v>35040</v>
      </c>
      <c r="D36" s="4" t="s">
        <v>8</v>
      </c>
    </row>
    <row r="38" spans="2:5" ht="18" customHeight="1" x14ac:dyDescent="0.2">
      <c r="B38" s="49" t="s">
        <v>50</v>
      </c>
      <c r="C38" s="49"/>
      <c r="D38" s="49"/>
      <c r="E38" s="49"/>
    </row>
    <row r="39" spans="2:5" x14ac:dyDescent="0.2">
      <c r="B39" s="2" t="s">
        <v>51</v>
      </c>
      <c r="C39" s="14">
        <v>1800</v>
      </c>
      <c r="D39" s="4" t="s">
        <v>4</v>
      </c>
    </row>
    <row r="40" spans="2:5" x14ac:dyDescent="0.2">
      <c r="B40" s="2" t="s">
        <v>52</v>
      </c>
      <c r="C40" s="8">
        <v>5.0000000000000001E-3</v>
      </c>
      <c r="D40" s="4" t="s">
        <v>31</v>
      </c>
    </row>
    <row r="41" spans="2:5" x14ac:dyDescent="0.2">
      <c r="B41" s="2" t="s">
        <v>53</v>
      </c>
      <c r="C41" s="8">
        <v>0.12</v>
      </c>
      <c r="D41" s="4" t="s">
        <v>31</v>
      </c>
    </row>
    <row r="42" spans="2:5" x14ac:dyDescent="0.2">
      <c r="B42" s="2" t="s">
        <v>54</v>
      </c>
      <c r="C42" s="8">
        <v>7.0000000000000007E-2</v>
      </c>
      <c r="D42" s="4" t="s">
        <v>31</v>
      </c>
    </row>
    <row r="44" spans="2:5" ht="18" customHeight="1" x14ac:dyDescent="0.2">
      <c r="B44" s="50" t="s">
        <v>55</v>
      </c>
      <c r="C44" s="50"/>
      <c r="D44" s="50"/>
      <c r="E44" s="50"/>
    </row>
    <row r="45" spans="2:5" x14ac:dyDescent="0.2">
      <c r="B45" s="2" t="s">
        <v>56</v>
      </c>
      <c r="C45" s="15">
        <v>220000</v>
      </c>
      <c r="D45" s="4" t="s">
        <v>57</v>
      </c>
      <c r="E45" s="6" t="s">
        <v>188</v>
      </c>
    </row>
    <row r="46" spans="2:5" x14ac:dyDescent="0.2">
      <c r="B46" s="2" t="s">
        <v>58</v>
      </c>
      <c r="C46" s="16">
        <v>0.8</v>
      </c>
      <c r="D46" s="4" t="s">
        <v>21</v>
      </c>
      <c r="E46" s="6" t="s">
        <v>59</v>
      </c>
    </row>
    <row r="47" spans="2:5" x14ac:dyDescent="0.2">
      <c r="B47" s="2" t="s">
        <v>60</v>
      </c>
      <c r="C47" s="16">
        <v>0.2</v>
      </c>
      <c r="D47" s="4" t="s">
        <v>21</v>
      </c>
      <c r="E47" s="6" t="s">
        <v>61</v>
      </c>
    </row>
    <row r="48" spans="2:5" x14ac:dyDescent="0.2">
      <c r="B48" s="2" t="s">
        <v>62</v>
      </c>
      <c r="C48" s="17">
        <v>0.28000000000000003</v>
      </c>
      <c r="D48" s="4" t="s">
        <v>63</v>
      </c>
      <c r="E48" s="6" t="s">
        <v>64</v>
      </c>
    </row>
    <row r="49" spans="2:5" x14ac:dyDescent="0.2">
      <c r="B49" s="2" t="s">
        <v>65</v>
      </c>
      <c r="C49" s="18">
        <v>7.3</v>
      </c>
      <c r="D49" s="4" t="s">
        <v>66</v>
      </c>
      <c r="E49" s="6" t="s">
        <v>67</v>
      </c>
    </row>
    <row r="50" spans="2:5" x14ac:dyDescent="0.2">
      <c r="B50" s="2" t="s">
        <v>68</v>
      </c>
      <c r="C50" s="15">
        <v>10000</v>
      </c>
      <c r="D50" s="4" t="s">
        <v>69</v>
      </c>
      <c r="E50" s="6" t="s">
        <v>187</v>
      </c>
    </row>
    <row r="51" spans="2:5" x14ac:dyDescent="0.2">
      <c r="B51" s="2" t="s">
        <v>70</v>
      </c>
      <c r="C51" s="16">
        <v>7.0000000000000007E-2</v>
      </c>
      <c r="D51" s="4" t="s">
        <v>31</v>
      </c>
      <c r="E51" s="6" t="s">
        <v>71</v>
      </c>
    </row>
    <row r="53" spans="2:5" x14ac:dyDescent="0.2">
      <c r="B53" s="2" t="s">
        <v>72</v>
      </c>
      <c r="C53" s="12">
        <f>IFERROR(C8/C12/C13,0)</f>
        <v>71.428571428571431</v>
      </c>
      <c r="D53" s="4" t="s">
        <v>73</v>
      </c>
      <c r="E53" s="6" t="s">
        <v>74</v>
      </c>
    </row>
    <row r="54" spans="2:5" x14ac:dyDescent="0.2">
      <c r="B54" s="2" t="s">
        <v>75</v>
      </c>
      <c r="C54" s="12">
        <f>IFERROR(C53/C46*(1+C47),0)</f>
        <v>107.14285714285712</v>
      </c>
      <c r="D54" s="4" t="s">
        <v>76</v>
      </c>
      <c r="E54" s="6" t="s">
        <v>77</v>
      </c>
    </row>
  </sheetData>
  <mergeCells count="9">
    <mergeCell ref="B28:E28"/>
    <mergeCell ref="B33:E33"/>
    <mergeCell ref="B38:E38"/>
    <mergeCell ref="B44:E44"/>
    <mergeCell ref="B1:E1"/>
    <mergeCell ref="B3:E3"/>
    <mergeCell ref="B7:E7"/>
    <mergeCell ref="B15:E15"/>
    <mergeCell ref="B24:E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0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46" customWidth="1"/>
    <col min="3" max="3" width="19.1640625" bestFit="1" customWidth="1"/>
    <col min="4" max="4" width="14" customWidth="1"/>
    <col min="5" max="5" width="52" customWidth="1"/>
  </cols>
  <sheetData>
    <row r="1" spans="2:5" ht="27.75" customHeight="1" x14ac:dyDescent="0.2">
      <c r="B1" s="51" t="s">
        <v>78</v>
      </c>
      <c r="C1" s="51"/>
      <c r="D1" s="51"/>
      <c r="E1" s="51"/>
    </row>
    <row r="3" spans="2:5" ht="18" customHeight="1" x14ac:dyDescent="0.2">
      <c r="B3" s="49" t="s">
        <v>79</v>
      </c>
      <c r="C3" s="49"/>
      <c r="D3" s="49"/>
      <c r="E3" s="49"/>
    </row>
    <row r="4" spans="2:5" x14ac:dyDescent="0.2">
      <c r="B4" s="2" t="s">
        <v>80</v>
      </c>
      <c r="C4" s="19">
        <f>Premissas!C8/Premissas!C12</f>
        <v>214.28571428571428</v>
      </c>
      <c r="D4" s="4" t="s">
        <v>81</v>
      </c>
      <c r="E4" s="6" t="s">
        <v>82</v>
      </c>
    </row>
    <row r="5" spans="2:5" x14ac:dyDescent="0.2">
      <c r="B5" s="2" t="s">
        <v>83</v>
      </c>
      <c r="C5" s="19">
        <f>C4/(Premissas!C19*Premissas!C16)</f>
        <v>248.01587301587301</v>
      </c>
      <c r="D5" s="4" t="s">
        <v>84</v>
      </c>
      <c r="E5" s="6" t="s">
        <v>85</v>
      </c>
    </row>
    <row r="6" spans="2:5" x14ac:dyDescent="0.2">
      <c r="B6" s="2" t="s">
        <v>86</v>
      </c>
      <c r="C6" s="19">
        <f>C5/Premissas!C13</f>
        <v>82.671957671957671</v>
      </c>
      <c r="D6" s="4" t="s">
        <v>73</v>
      </c>
      <c r="E6" s="6" t="s">
        <v>87</v>
      </c>
    </row>
    <row r="8" spans="2:5" ht="18" customHeight="1" x14ac:dyDescent="0.2">
      <c r="B8" s="49" t="s">
        <v>88</v>
      </c>
      <c r="C8" s="49"/>
      <c r="D8" s="49"/>
      <c r="E8" s="49"/>
    </row>
    <row r="9" spans="2:5" x14ac:dyDescent="0.2">
      <c r="B9" s="2" t="s">
        <v>89</v>
      </c>
      <c r="C9" s="20">
        <f>Premissas!C8*Premissas!C5</f>
        <v>17505</v>
      </c>
      <c r="D9" s="4" t="s">
        <v>90</v>
      </c>
      <c r="E9" s="6" t="s">
        <v>91</v>
      </c>
    </row>
    <row r="10" spans="2:5" x14ac:dyDescent="0.2">
      <c r="B10" s="2" t="s">
        <v>92</v>
      </c>
      <c r="C10" s="20">
        <f>Premissas!C10*Premissas!C4</f>
        <v>2959.2803030303035</v>
      </c>
      <c r="D10" s="4" t="s">
        <v>90</v>
      </c>
      <c r="E10" s="6" t="s">
        <v>93</v>
      </c>
    </row>
    <row r="11" spans="2:5" x14ac:dyDescent="0.2">
      <c r="B11" s="21" t="s">
        <v>94</v>
      </c>
      <c r="C11" s="22">
        <f>C9-C10</f>
        <v>14545.719696969696</v>
      </c>
      <c r="D11" s="4" t="s">
        <v>90</v>
      </c>
    </row>
    <row r="12" spans="2:5" x14ac:dyDescent="0.2">
      <c r="B12" s="21" t="s">
        <v>95</v>
      </c>
      <c r="C12" s="22">
        <f>C11*12</f>
        <v>174548.63636363635</v>
      </c>
      <c r="D12" s="4" t="s">
        <v>69</v>
      </c>
    </row>
    <row r="14" spans="2:5" ht="18" customHeight="1" x14ac:dyDescent="0.2">
      <c r="B14" s="49" t="s">
        <v>96</v>
      </c>
      <c r="C14" s="49"/>
      <c r="D14" s="49"/>
      <c r="E14" s="49"/>
    </row>
    <row r="15" spans="2:5" x14ac:dyDescent="0.2">
      <c r="B15" s="21" t="s">
        <v>97</v>
      </c>
      <c r="C15" s="23">
        <f>C5*Premissas!C39</f>
        <v>446428.57142857142</v>
      </c>
      <c r="D15" s="4" t="s">
        <v>57</v>
      </c>
    </row>
    <row r="16" spans="2:5" x14ac:dyDescent="0.2">
      <c r="B16" s="2" t="s">
        <v>98</v>
      </c>
      <c r="C16" s="20">
        <f>C15*Premissas!C40</f>
        <v>2232.1428571428573</v>
      </c>
      <c r="D16" s="4" t="s">
        <v>69</v>
      </c>
    </row>
    <row r="17" spans="2:5" x14ac:dyDescent="0.2">
      <c r="B17" s="21" t="s">
        <v>95</v>
      </c>
      <c r="C17" s="22">
        <f>C12-C16</f>
        <v>172316.49350649348</v>
      </c>
      <c r="D17" s="4" t="s">
        <v>69</v>
      </c>
    </row>
    <row r="18" spans="2:5" ht="17" x14ac:dyDescent="0.2">
      <c r="B18" s="21" t="s">
        <v>99</v>
      </c>
      <c r="C18" s="24" t="str">
        <f>IFERROR(INT(C15/C17)&amp;" anos e "&amp;ROUND((C15/C17-INT(C15/C17))*12,0)&amp;" meses","Não paga no período")</f>
        <v>2 anos e 7 meses</v>
      </c>
    </row>
    <row r="19" spans="2:5" ht="17" x14ac:dyDescent="0.2">
      <c r="B19" s="21" t="s">
        <v>100</v>
      </c>
      <c r="C19" s="25" t="str">
        <f>IFERROR(INT((MATCH(0,'Fluxo de Caixa'!C$4:C$16,1)-1)+ABS(INDEX('Fluxo de Caixa'!C$4:C$16,MATCH(0,'Fluxo de Caixa'!C$4:C$16,1)))/(INDEX('Fluxo de Caixa'!C$4:C$16,MATCH(0,'Fluxo de Caixa'!C$4:C$16,1)+1)-INDEX('Fluxo de Caixa'!C$4:C$16,MATCH(0,'Fluxo de Caixa'!C$4:C$16,1))))&amp;" anos e "&amp;ROUND(((MATCH(0,'Fluxo de Caixa'!C$4:C$16,1)-1)+ABS(INDEX('Fluxo de Caixa'!C$4:C$16,MATCH(0,'Fluxo de Caixa'!C$4:C$16,1)))/(INDEX('Fluxo de Caixa'!C$4:C$16,MATCH(0,'Fluxo de Caixa'!C$4:C$16,1)+1)-INDEX('Fluxo de Caixa'!C$4:C$16,MATCH(0,'Fluxo de Caixa'!C$4:C$16,1)))-INT((MATCH(0,'Fluxo de Caixa'!C$4:C$16,1)-1)+ABS(INDEX('Fluxo de Caixa'!C$4:C$16,MATCH(0,'Fluxo de Caixa'!C$4:C$16,1)))/(INDEX('Fluxo de Caixa'!C$4:C$16,MATCH(0,'Fluxo de Caixa'!C$4:C$16,1)+1)-INDEX('Fluxo de Caixa'!C$4:C$16,MATCH(0,'Fluxo de Caixa'!C$4:C$16,1)))))*12,0)&amp;" meses","Não paga no período")</f>
        <v>2 anos e 6 meses</v>
      </c>
      <c r="E19" s="6" t="s">
        <v>101</v>
      </c>
    </row>
    <row r="20" spans="2:5" ht="16" x14ac:dyDescent="0.2">
      <c r="B20" s="21" t="s">
        <v>102</v>
      </c>
      <c r="C20" s="26">
        <f>SUM('Fluxo de Caixa'!B5:B16)</f>
        <v>2729116.0329383789</v>
      </c>
      <c r="E20" s="6" t="s">
        <v>103</v>
      </c>
    </row>
  </sheetData>
  <mergeCells count="4">
    <mergeCell ref="B1:E1"/>
    <mergeCell ref="B3:E3"/>
    <mergeCell ref="B8:E8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32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46" customWidth="1"/>
    <col min="3" max="3" width="20.33203125" bestFit="1" customWidth="1"/>
    <col min="4" max="4" width="14" customWidth="1"/>
    <col min="5" max="5" width="52" customWidth="1"/>
  </cols>
  <sheetData>
    <row r="1" spans="2:5" ht="27.75" customHeight="1" x14ac:dyDescent="0.2">
      <c r="B1" s="51" t="s">
        <v>104</v>
      </c>
      <c r="C1" s="51"/>
      <c r="D1" s="51"/>
      <c r="E1" s="51"/>
    </row>
    <row r="3" spans="2:5" ht="18" customHeight="1" x14ac:dyDescent="0.2">
      <c r="B3" s="49" t="s">
        <v>79</v>
      </c>
      <c r="C3" s="49"/>
      <c r="D3" s="49"/>
      <c r="E3" s="49"/>
    </row>
    <row r="4" spans="2:5" x14ac:dyDescent="0.2">
      <c r="B4" s="2" t="s">
        <v>80</v>
      </c>
      <c r="C4" s="19">
        <f>Premissas!C8/Premissas!C12</f>
        <v>214.28571428571428</v>
      </c>
      <c r="D4" s="4" t="s">
        <v>81</v>
      </c>
      <c r="E4" s="6" t="s">
        <v>82</v>
      </c>
    </row>
    <row r="5" spans="2:5" x14ac:dyDescent="0.2">
      <c r="B5" s="2" t="s">
        <v>83</v>
      </c>
      <c r="C5" s="19">
        <f>C4/(Premissas!C19*Premissas!C16)</f>
        <v>248.01587301587301</v>
      </c>
      <c r="D5" s="4" t="s">
        <v>84</v>
      </c>
      <c r="E5" s="6" t="s">
        <v>85</v>
      </c>
    </row>
    <row r="6" spans="2:5" x14ac:dyDescent="0.2">
      <c r="B6" s="2" t="s">
        <v>86</v>
      </c>
      <c r="C6" s="19">
        <f>C5/Premissas!C13</f>
        <v>82.671957671957671</v>
      </c>
      <c r="D6" s="4" t="s">
        <v>73</v>
      </c>
      <c r="E6" s="6" t="s">
        <v>87</v>
      </c>
    </row>
    <row r="8" spans="2:5" ht="18" customHeight="1" x14ac:dyDescent="0.2">
      <c r="B8" s="48" t="s">
        <v>105</v>
      </c>
      <c r="C8" s="48"/>
      <c r="D8" s="48"/>
      <c r="E8" s="48"/>
    </row>
    <row r="9" spans="2:5" x14ac:dyDescent="0.2">
      <c r="B9" s="2" t="s">
        <v>40</v>
      </c>
      <c r="C9" s="19">
        <f>Premissas!C29</f>
        <v>41.101115319865329</v>
      </c>
      <c r="D9" s="4" t="s">
        <v>41</v>
      </c>
      <c r="E9" s="6" t="s">
        <v>106</v>
      </c>
    </row>
    <row r="10" spans="2:5" x14ac:dyDescent="0.2">
      <c r="B10" s="2" t="s">
        <v>43</v>
      </c>
      <c r="C10" s="19">
        <f>Premissas!C30</f>
        <v>42</v>
      </c>
      <c r="D10" s="4" t="s">
        <v>41</v>
      </c>
    </row>
    <row r="11" spans="2:5" x14ac:dyDescent="0.2">
      <c r="B11" s="2" t="s">
        <v>107</v>
      </c>
      <c r="C11" s="27">
        <f>Premissas!C31</f>
        <v>5040</v>
      </c>
      <c r="D11" s="4" t="s">
        <v>8</v>
      </c>
    </row>
    <row r="12" spans="2:5" x14ac:dyDescent="0.2">
      <c r="B12" s="2" t="s">
        <v>108</v>
      </c>
      <c r="C12" s="27">
        <f>MIN(C11,Premissas!C10)</f>
        <v>4932.1338383838392</v>
      </c>
      <c r="D12" s="4" t="s">
        <v>8</v>
      </c>
      <c r="E12" s="6" t="s">
        <v>109</v>
      </c>
    </row>
    <row r="13" spans="2:5" x14ac:dyDescent="0.2">
      <c r="B13" s="2" t="s">
        <v>110</v>
      </c>
      <c r="C13" s="27">
        <f>MAX(0,C11-Premissas!C10)</f>
        <v>107.86616161616075</v>
      </c>
      <c r="D13" s="4" t="s">
        <v>8</v>
      </c>
      <c r="E13" s="6" t="s">
        <v>111</v>
      </c>
    </row>
    <row r="14" spans="2:5" x14ac:dyDescent="0.2">
      <c r="B14" s="2" t="s">
        <v>112</v>
      </c>
      <c r="C14" s="27">
        <f>MIN(C13,Premissas!C9)</f>
        <v>107.86616161616075</v>
      </c>
      <c r="D14" s="4" t="s">
        <v>8</v>
      </c>
      <c r="E14" s="6" t="s">
        <v>113</v>
      </c>
    </row>
    <row r="15" spans="2:5" x14ac:dyDescent="0.2">
      <c r="B15" s="2" t="s">
        <v>114</v>
      </c>
      <c r="C15" s="27">
        <f>MAX(0,Premissas!C10-C11)</f>
        <v>0</v>
      </c>
      <c r="D15" s="4" t="s">
        <v>8</v>
      </c>
    </row>
    <row r="17" spans="2:5" ht="18" customHeight="1" x14ac:dyDescent="0.2">
      <c r="B17" s="49" t="s">
        <v>88</v>
      </c>
      <c r="C17" s="49"/>
      <c r="D17" s="49"/>
      <c r="E17" s="49"/>
    </row>
    <row r="18" spans="2:5" x14ac:dyDescent="0.2">
      <c r="B18" s="2" t="s">
        <v>89</v>
      </c>
      <c r="C18" s="20">
        <f>Premissas!C8*Premissas!C5</f>
        <v>17505</v>
      </c>
      <c r="D18" s="4" t="s">
        <v>90</v>
      </c>
    </row>
    <row r="19" spans="2:5" x14ac:dyDescent="0.2">
      <c r="B19" s="2" t="s">
        <v>115</v>
      </c>
      <c r="C19" s="20">
        <f>C15*Premissas!C4</f>
        <v>0</v>
      </c>
      <c r="D19" s="4" t="s">
        <v>90</v>
      </c>
    </row>
    <row r="20" spans="2:5" x14ac:dyDescent="0.2">
      <c r="B20" s="2" t="s">
        <v>116</v>
      </c>
      <c r="C20" s="20">
        <f>C14*Premissas!C4</f>
        <v>64.719696969696443</v>
      </c>
      <c r="D20" s="4" t="s">
        <v>90</v>
      </c>
    </row>
    <row r="21" spans="2:5" x14ac:dyDescent="0.2">
      <c r="B21" s="21" t="s">
        <v>94</v>
      </c>
      <c r="C21" s="22">
        <f>C18-C19+C20</f>
        <v>17569.719696969696</v>
      </c>
      <c r="D21" s="4" t="s">
        <v>90</v>
      </c>
    </row>
    <row r="22" spans="2:5" x14ac:dyDescent="0.2">
      <c r="B22" s="21" t="s">
        <v>95</v>
      </c>
      <c r="C22" s="22">
        <f>C21*12</f>
        <v>210836.63636363635</v>
      </c>
      <c r="D22" s="4" t="s">
        <v>69</v>
      </c>
    </row>
    <row r="24" spans="2:5" ht="18" customHeight="1" x14ac:dyDescent="0.2">
      <c r="B24" s="49" t="s">
        <v>96</v>
      </c>
      <c r="C24" s="49"/>
      <c r="D24" s="49"/>
      <c r="E24" s="49"/>
    </row>
    <row r="25" spans="2:5" x14ac:dyDescent="0.2">
      <c r="B25" s="2" t="s">
        <v>97</v>
      </c>
      <c r="C25" s="28">
        <f>C5*Premissas!C39</f>
        <v>446428.57142857142</v>
      </c>
      <c r="D25" s="4" t="s">
        <v>57</v>
      </c>
    </row>
    <row r="26" spans="2:5" x14ac:dyDescent="0.2">
      <c r="B26" s="2" t="s">
        <v>117</v>
      </c>
      <c r="C26" s="28">
        <f>Premissas!C30*Premissas!C26</f>
        <v>84000</v>
      </c>
      <c r="D26" s="4" t="s">
        <v>57</v>
      </c>
    </row>
    <row r="27" spans="2:5" x14ac:dyDescent="0.2">
      <c r="B27" s="21" t="s">
        <v>118</v>
      </c>
      <c r="C27" s="23">
        <f>C25+C26</f>
        <v>530428.57142857136</v>
      </c>
      <c r="D27" s="4" t="s">
        <v>57</v>
      </c>
    </row>
    <row r="28" spans="2:5" x14ac:dyDescent="0.2">
      <c r="B28" s="2" t="s">
        <v>98</v>
      </c>
      <c r="C28" s="20">
        <f>C27*Premissas!C40</f>
        <v>2652.1428571428569</v>
      </c>
      <c r="D28" s="4" t="s">
        <v>69</v>
      </c>
    </row>
    <row r="29" spans="2:5" x14ac:dyDescent="0.2">
      <c r="B29" s="21" t="s">
        <v>95</v>
      </c>
      <c r="C29" s="22">
        <f>C22-C28</f>
        <v>208184.49350649348</v>
      </c>
      <c r="D29" s="4" t="s">
        <v>69</v>
      </c>
    </row>
    <row r="30" spans="2:5" ht="17" x14ac:dyDescent="0.2">
      <c r="B30" s="21" t="s">
        <v>99</v>
      </c>
      <c r="C30" s="24" t="str">
        <f>IFERROR(INT(C27/C29)&amp;" anos e "&amp;ROUND((C27/C29-INT(C27/C29))*12,0)&amp;" meses","Não paga no período")</f>
        <v>2 anos e 7 meses</v>
      </c>
    </row>
    <row r="31" spans="2:5" ht="17" x14ac:dyDescent="0.2">
      <c r="B31" s="21" t="s">
        <v>100</v>
      </c>
      <c r="C31" s="25" t="str">
        <f>IFERROR(INT((MATCH(0,'Fluxo de Caixa'!E$4:E$16,1)-1)+ABS(INDEX('Fluxo de Caixa'!E$4:E$16,MATCH(0,'Fluxo de Caixa'!E$4:E$16,1)))/(INDEX('Fluxo de Caixa'!E$4:E$16,MATCH(0,'Fluxo de Caixa'!E$4:E$16,1)+1)-INDEX('Fluxo de Caixa'!E$4:E$16,MATCH(0,'Fluxo de Caixa'!E$4:E$16,1))))&amp;" anos e "&amp;ROUND(((MATCH(0,'Fluxo de Caixa'!E$4:E$16,1)-1)+ABS(INDEX('Fluxo de Caixa'!E$4:E$16,MATCH(0,'Fluxo de Caixa'!E$4:E$16,1)))/(INDEX('Fluxo de Caixa'!E$4:E$16,MATCH(0,'Fluxo de Caixa'!E$4:E$16,1)+1)-INDEX('Fluxo de Caixa'!E$4:E$16,MATCH(0,'Fluxo de Caixa'!E$4:E$16,1)))-INT((MATCH(0,'Fluxo de Caixa'!E$4:E$16,1)-1)+ABS(INDEX('Fluxo de Caixa'!E$4:E$16,MATCH(0,'Fluxo de Caixa'!E$4:E$16,1)))/(INDEX('Fluxo de Caixa'!E$4:E$16,MATCH(0,'Fluxo de Caixa'!E$4:E$16,1)+1)-INDEX('Fluxo de Caixa'!E$4:E$16,MATCH(0,'Fluxo de Caixa'!E$4:E$16,1)))))*12,0)&amp;" meses","Não paga no período")</f>
        <v>2 anos e 5 meses</v>
      </c>
      <c r="E31" s="6" t="s">
        <v>101</v>
      </c>
    </row>
    <row r="32" spans="2:5" ht="16" x14ac:dyDescent="0.2">
      <c r="B32" s="21" t="s">
        <v>102</v>
      </c>
      <c r="C32" s="26">
        <f>SUM('Fluxo de Caixa'!D5:D16)</f>
        <v>3297017.5619396451</v>
      </c>
      <c r="E32" s="6" t="s">
        <v>103</v>
      </c>
    </row>
  </sheetData>
  <mergeCells count="5">
    <mergeCell ref="B1:E1"/>
    <mergeCell ref="B3:E3"/>
    <mergeCell ref="B8:E8"/>
    <mergeCell ref="B17:E17"/>
    <mergeCell ref="B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3"/>
  <sheetViews>
    <sheetView topLeftCell="A11" zoomScale="163" zoomScaleNormal="100" workbookViewId="0">
      <selection activeCell="C30" sqref="C30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3" width="20.33203125" bestFit="1" customWidth="1"/>
    <col min="4" max="4" width="14" customWidth="1"/>
    <col min="5" max="5" width="52" customWidth="1"/>
  </cols>
  <sheetData>
    <row r="1" spans="2:5" ht="27.75" customHeight="1" x14ac:dyDescent="0.2">
      <c r="B1" s="51" t="s">
        <v>119</v>
      </c>
      <c r="C1" s="51"/>
      <c r="D1" s="51"/>
      <c r="E1" s="51"/>
    </row>
    <row r="3" spans="2:5" ht="18" customHeight="1" x14ac:dyDescent="0.2">
      <c r="B3" s="49" t="s">
        <v>79</v>
      </c>
      <c r="C3" s="49"/>
      <c r="D3" s="49"/>
      <c r="E3" s="49"/>
    </row>
    <row r="4" spans="2:5" x14ac:dyDescent="0.2">
      <c r="B4" s="2" t="s">
        <v>80</v>
      </c>
      <c r="C4" s="19">
        <f>Premissas!C8/Premissas!C12</f>
        <v>214.28571428571428</v>
      </c>
      <c r="D4" s="4" t="s">
        <v>81</v>
      </c>
      <c r="E4" s="6" t="s">
        <v>82</v>
      </c>
    </row>
    <row r="5" spans="2:5" x14ac:dyDescent="0.2">
      <c r="B5" s="2" t="s">
        <v>83</v>
      </c>
      <c r="C5" s="19">
        <f>C4/(Premissas!C19*Premissas!C16)</f>
        <v>248.01587301587301</v>
      </c>
      <c r="D5" s="4" t="s">
        <v>84</v>
      </c>
      <c r="E5" s="6" t="s">
        <v>85</v>
      </c>
    </row>
    <row r="6" spans="2:5" x14ac:dyDescent="0.2">
      <c r="B6" s="2" t="s">
        <v>86</v>
      </c>
      <c r="C6" s="19">
        <f>C5/Premissas!C13</f>
        <v>82.671957671957671</v>
      </c>
      <c r="D6" s="4" t="s">
        <v>73</v>
      </c>
      <c r="E6" s="6" t="s">
        <v>87</v>
      </c>
    </row>
    <row r="8" spans="2:5" ht="18" customHeight="1" x14ac:dyDescent="0.2">
      <c r="B8" s="48" t="s">
        <v>105</v>
      </c>
      <c r="C8" s="48"/>
      <c r="D8" s="48"/>
      <c r="E8" s="48"/>
    </row>
    <row r="9" spans="2:5" x14ac:dyDescent="0.2">
      <c r="B9" s="2" t="s">
        <v>46</v>
      </c>
      <c r="C9" s="19">
        <f>Premissas!C34</f>
        <v>291.1011153198653</v>
      </c>
      <c r="D9" s="4" t="s">
        <v>41</v>
      </c>
      <c r="E9" s="6" t="s">
        <v>120</v>
      </c>
    </row>
    <row r="10" spans="2:5" x14ac:dyDescent="0.2">
      <c r="B10" s="2" t="s">
        <v>48</v>
      </c>
      <c r="C10" s="19">
        <f>Premissas!C35</f>
        <v>292</v>
      </c>
      <c r="D10" s="4" t="s">
        <v>41</v>
      </c>
    </row>
    <row r="11" spans="2:5" x14ac:dyDescent="0.2">
      <c r="B11" s="2" t="s">
        <v>107</v>
      </c>
      <c r="C11" s="27">
        <f>Premissas!C36</f>
        <v>35040</v>
      </c>
      <c r="D11" s="4" t="s">
        <v>8</v>
      </c>
    </row>
    <row r="12" spans="2:5" x14ac:dyDescent="0.2">
      <c r="B12" s="2" t="s">
        <v>108</v>
      </c>
      <c r="C12" s="27">
        <f>MIN(C11,Premissas!C10)</f>
        <v>4932.1338383838392</v>
      </c>
      <c r="D12" s="4" t="s">
        <v>8</v>
      </c>
    </row>
    <row r="13" spans="2:5" x14ac:dyDescent="0.2">
      <c r="B13" s="2" t="s">
        <v>110</v>
      </c>
      <c r="C13" s="27">
        <f>MAX(0,C11-Premissas!C10)</f>
        <v>30107.866161616163</v>
      </c>
      <c r="D13" s="4" t="s">
        <v>8</v>
      </c>
    </row>
    <row r="14" spans="2:5" x14ac:dyDescent="0.2">
      <c r="B14" s="2" t="s">
        <v>112</v>
      </c>
      <c r="C14" s="27">
        <f>MIN(C13,Premissas!C9)</f>
        <v>30000</v>
      </c>
      <c r="D14" s="4" t="s">
        <v>8</v>
      </c>
    </row>
    <row r="15" spans="2:5" x14ac:dyDescent="0.2">
      <c r="B15" s="2" t="s">
        <v>121</v>
      </c>
      <c r="C15" s="27">
        <f>MAX(0,Premissas!C9-C14)</f>
        <v>0</v>
      </c>
      <c r="D15" s="4" t="s">
        <v>8</v>
      </c>
    </row>
    <row r="16" spans="2:5" x14ac:dyDescent="0.2">
      <c r="B16" s="2" t="s">
        <v>114</v>
      </c>
      <c r="C16" s="27">
        <f>MAX(0,Premissas!C10-C11)</f>
        <v>0</v>
      </c>
      <c r="D16" s="4" t="s">
        <v>8</v>
      </c>
    </row>
    <row r="18" spans="2:5" ht="18" customHeight="1" x14ac:dyDescent="0.2">
      <c r="B18" s="49" t="s">
        <v>88</v>
      </c>
      <c r="C18" s="49"/>
      <c r="D18" s="49"/>
      <c r="E18" s="49"/>
    </row>
    <row r="19" spans="2:5" x14ac:dyDescent="0.2">
      <c r="B19" s="2" t="s">
        <v>89</v>
      </c>
      <c r="C19" s="20">
        <f>Premissas!C8*Premissas!C5</f>
        <v>17505</v>
      </c>
      <c r="D19" s="4" t="s">
        <v>90</v>
      </c>
    </row>
    <row r="20" spans="2:5" x14ac:dyDescent="0.2">
      <c r="B20" s="2" t="s">
        <v>115</v>
      </c>
      <c r="C20" s="20">
        <f>C16*Premissas!C4</f>
        <v>0</v>
      </c>
      <c r="D20" s="4" t="s">
        <v>90</v>
      </c>
    </row>
    <row r="21" spans="2:5" x14ac:dyDescent="0.2">
      <c r="B21" s="2" t="s">
        <v>122</v>
      </c>
      <c r="C21" s="20">
        <f>C14*Premissas!C4</f>
        <v>18000</v>
      </c>
      <c r="D21" s="4" t="s">
        <v>90</v>
      </c>
    </row>
    <row r="22" spans="2:5" x14ac:dyDescent="0.2">
      <c r="B22" s="21" t="s">
        <v>94</v>
      </c>
      <c r="C22" s="22">
        <f>C19-C20+C21</f>
        <v>35505</v>
      </c>
      <c r="D22" s="4" t="s">
        <v>90</v>
      </c>
    </row>
    <row r="23" spans="2:5" x14ac:dyDescent="0.2">
      <c r="B23" s="21" t="s">
        <v>95</v>
      </c>
      <c r="C23" s="22">
        <f>C22*12</f>
        <v>426060</v>
      </c>
      <c r="D23" s="4" t="s">
        <v>69</v>
      </c>
    </row>
    <row r="25" spans="2:5" ht="18" customHeight="1" x14ac:dyDescent="0.2">
      <c r="B25" s="49" t="s">
        <v>96</v>
      </c>
      <c r="C25" s="49"/>
      <c r="D25" s="49"/>
      <c r="E25" s="49"/>
    </row>
    <row r="26" spans="2:5" x14ac:dyDescent="0.2">
      <c r="B26" s="2" t="s">
        <v>97</v>
      </c>
      <c r="C26" s="28">
        <f>C5*Premissas!C39</f>
        <v>446428.57142857142</v>
      </c>
      <c r="D26" s="4" t="s">
        <v>57</v>
      </c>
    </row>
    <row r="27" spans="2:5" x14ac:dyDescent="0.2">
      <c r="B27" s="2" t="s">
        <v>123</v>
      </c>
      <c r="C27" s="28">
        <f>Premissas!C35*Premissas!C26</f>
        <v>584000</v>
      </c>
      <c r="D27" s="4" t="s">
        <v>57</v>
      </c>
    </row>
    <row r="28" spans="2:5" x14ac:dyDescent="0.2">
      <c r="B28" s="21" t="s">
        <v>118</v>
      </c>
      <c r="C28" s="23">
        <f>C26+C27</f>
        <v>1030428.5714285714</v>
      </c>
      <c r="D28" s="4" t="s">
        <v>57</v>
      </c>
    </row>
    <row r="29" spans="2:5" x14ac:dyDescent="0.2">
      <c r="B29" s="2" t="s">
        <v>98</v>
      </c>
      <c r="C29" s="20">
        <f>C28*Premissas!C40</f>
        <v>5152.1428571428569</v>
      </c>
      <c r="D29" s="4" t="s">
        <v>69</v>
      </c>
    </row>
    <row r="30" spans="2:5" x14ac:dyDescent="0.2">
      <c r="B30" s="21" t="s">
        <v>95</v>
      </c>
      <c r="C30" s="22">
        <f>C23-C29</f>
        <v>420907.85714285716</v>
      </c>
      <c r="D30" s="4" t="s">
        <v>69</v>
      </c>
    </row>
    <row r="31" spans="2:5" ht="17" x14ac:dyDescent="0.2">
      <c r="B31" s="21" t="s">
        <v>99</v>
      </c>
      <c r="C31" s="24" t="str">
        <f>IFERROR(INT(C28/C30)&amp;" anos e "&amp;ROUND((C28/C30-INT(C28/C30))*12,0)&amp;" meses","Não paga no período")</f>
        <v>2 anos e 5 meses</v>
      </c>
    </row>
    <row r="32" spans="2:5" ht="17" x14ac:dyDescent="0.2">
      <c r="B32" s="21" t="s">
        <v>100</v>
      </c>
      <c r="C32" s="25" t="str">
        <f>IFERROR(INT((MATCH(0,'Fluxo de Caixa'!G$4:G$16,1)-1)+ABS(INDEX('Fluxo de Caixa'!G$4:G$16,MATCH(0,'Fluxo de Caixa'!G$4:G$16,1)))/(INDEX('Fluxo de Caixa'!G$4:G$16,MATCH(0,'Fluxo de Caixa'!G$4:G$16,1)+1)-INDEX('Fluxo de Caixa'!G$4:G$16,MATCH(0,'Fluxo de Caixa'!G$4:G$16,1))))&amp;" anos e "&amp;ROUND(((MATCH(0,'Fluxo de Caixa'!G$4:G$16,1)-1)+ABS(INDEX('Fluxo de Caixa'!G$4:G$16,MATCH(0,'Fluxo de Caixa'!G$4:G$16,1)))/(INDEX('Fluxo de Caixa'!G$4:G$16,MATCH(0,'Fluxo de Caixa'!G$4:G$16,1)+1)-INDEX('Fluxo de Caixa'!G$4:G$16,MATCH(0,'Fluxo de Caixa'!G$4:G$16,1)))-INT((MATCH(0,'Fluxo de Caixa'!G$4:G$16,1)-1)+ABS(INDEX('Fluxo de Caixa'!G$4:G$16,MATCH(0,'Fluxo de Caixa'!G$4:G$16,1)))/(INDEX('Fluxo de Caixa'!G$4:G$16,MATCH(0,'Fluxo de Caixa'!G$4:G$16,1)+1)-INDEX('Fluxo de Caixa'!G$4:G$16,MATCH(0,'Fluxo de Caixa'!G$4:G$16,1)))))*12,0)&amp;" meses","Não paga no período")</f>
        <v>2 anos e 4 meses</v>
      </c>
      <c r="E32" s="6" t="s">
        <v>101</v>
      </c>
    </row>
    <row r="33" spans="2:5" ht="16" x14ac:dyDescent="0.2">
      <c r="B33" s="21" t="s">
        <v>102</v>
      </c>
      <c r="C33" s="26">
        <f>SUM('Fluxo de Caixa'!F5:F16)</f>
        <v>6665121.7021130854</v>
      </c>
      <c r="E33" s="6" t="s">
        <v>103</v>
      </c>
    </row>
  </sheetData>
  <mergeCells count="5">
    <mergeCell ref="B1:E1"/>
    <mergeCell ref="B3:E3"/>
    <mergeCell ref="B8:E8"/>
    <mergeCell ref="B18:E18"/>
    <mergeCell ref="B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25"/>
  <sheetViews>
    <sheetView topLeftCell="A4" zoomScale="172" zoomScaleNormal="100" workbookViewId="0">
      <selection activeCell="C22" sqref="C22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3" width="19.1640625" bestFit="1" customWidth="1"/>
    <col min="4" max="4" width="14" customWidth="1"/>
    <col min="5" max="5" width="52" customWidth="1"/>
  </cols>
  <sheetData>
    <row r="1" spans="2:5" ht="27.75" customHeight="1" x14ac:dyDescent="0.2">
      <c r="B1" s="51" t="s">
        <v>124</v>
      </c>
      <c r="C1" s="51"/>
      <c r="D1" s="51"/>
      <c r="E1" s="51"/>
    </row>
    <row r="3" spans="2:5" ht="18" customHeight="1" x14ac:dyDescent="0.2">
      <c r="B3" s="50" t="s">
        <v>125</v>
      </c>
      <c r="C3" s="50"/>
      <c r="D3" s="50"/>
      <c r="E3" s="50"/>
    </row>
    <row r="4" spans="2:5" x14ac:dyDescent="0.2">
      <c r="B4" s="2" t="s">
        <v>126</v>
      </c>
      <c r="C4" s="19">
        <f>Premissas!C53</f>
        <v>71.428571428571431</v>
      </c>
      <c r="D4" s="4" t="s">
        <v>73</v>
      </c>
      <c r="E4" s="6" t="s">
        <v>127</v>
      </c>
    </row>
    <row r="5" spans="2:5" x14ac:dyDescent="0.2">
      <c r="B5" s="2" t="s">
        <v>128</v>
      </c>
      <c r="C5" s="19">
        <f>Premissas!C54</f>
        <v>107.14285714285712</v>
      </c>
      <c r="D5" s="4" t="s">
        <v>76</v>
      </c>
      <c r="E5" s="6" t="s">
        <v>77</v>
      </c>
    </row>
    <row r="6" spans="2:5" x14ac:dyDescent="0.2">
      <c r="B6" s="2" t="s">
        <v>129</v>
      </c>
      <c r="C6" s="19">
        <f>Premissas!C13*Premissas!C12</f>
        <v>63</v>
      </c>
      <c r="D6" s="4" t="s">
        <v>130</v>
      </c>
      <c r="E6" s="6" t="s">
        <v>131</v>
      </c>
    </row>
    <row r="7" spans="2:5" x14ac:dyDescent="0.2">
      <c r="B7" s="2" t="s">
        <v>132</v>
      </c>
      <c r="C7" s="19">
        <f>C4*Premissas!C48</f>
        <v>20.000000000000004</v>
      </c>
      <c r="D7" s="4" t="s">
        <v>133</v>
      </c>
      <c r="E7" s="6" t="s">
        <v>134</v>
      </c>
    </row>
    <row r="8" spans="2:5" x14ac:dyDescent="0.2">
      <c r="B8" s="2" t="s">
        <v>135</v>
      </c>
      <c r="C8" s="27">
        <f>C7*C6</f>
        <v>1260.0000000000002</v>
      </c>
      <c r="D8" s="4" t="s">
        <v>136</v>
      </c>
      <c r="E8" s="6" t="s">
        <v>137</v>
      </c>
    </row>
    <row r="9" spans="2:5" x14ac:dyDescent="0.2">
      <c r="B9" s="2" t="s">
        <v>138</v>
      </c>
      <c r="C9" s="20">
        <f>C8*Premissas!C49</f>
        <v>9198.0000000000018</v>
      </c>
      <c r="D9" s="4" t="s">
        <v>90</v>
      </c>
      <c r="E9" s="6" t="s">
        <v>139</v>
      </c>
    </row>
    <row r="11" spans="2:5" ht="18" customHeight="1" x14ac:dyDescent="0.2">
      <c r="B11" s="49" t="s">
        <v>88</v>
      </c>
      <c r="C11" s="49"/>
      <c r="D11" s="49"/>
      <c r="E11" s="49"/>
    </row>
    <row r="12" spans="2:5" x14ac:dyDescent="0.2">
      <c r="B12" s="2" t="s">
        <v>89</v>
      </c>
      <c r="C12" s="20">
        <f>Premissas!C8*Premissas!C5</f>
        <v>17505</v>
      </c>
      <c r="D12" s="4" t="s">
        <v>90</v>
      </c>
      <c r="E12" s="6" t="s">
        <v>91</v>
      </c>
    </row>
    <row r="13" spans="2:5" x14ac:dyDescent="0.2">
      <c r="B13" s="2" t="s">
        <v>140</v>
      </c>
      <c r="C13" s="20">
        <f>C9</f>
        <v>9198.0000000000018</v>
      </c>
      <c r="D13" s="4" t="s">
        <v>90</v>
      </c>
    </row>
    <row r="14" spans="2:5" x14ac:dyDescent="0.2">
      <c r="B14" s="21" t="s">
        <v>94</v>
      </c>
      <c r="C14" s="22">
        <f>C12-C13</f>
        <v>8306.9999999999982</v>
      </c>
      <c r="D14" s="4" t="s">
        <v>90</v>
      </c>
    </row>
    <row r="15" spans="2:5" x14ac:dyDescent="0.2">
      <c r="B15" s="2" t="s">
        <v>141</v>
      </c>
      <c r="C15" s="20">
        <f>C12*12</f>
        <v>210060</v>
      </c>
      <c r="D15" s="4" t="s">
        <v>69</v>
      </c>
      <c r="E15" s="6" t="s">
        <v>142</v>
      </c>
    </row>
    <row r="16" spans="2:5" x14ac:dyDescent="0.2">
      <c r="B16" s="2" t="s">
        <v>143</v>
      </c>
      <c r="C16" s="20">
        <f>C13*12</f>
        <v>110376.00000000003</v>
      </c>
      <c r="D16" s="4" t="s">
        <v>69</v>
      </c>
      <c r="E16" s="6" t="s">
        <v>144</v>
      </c>
    </row>
    <row r="17" spans="2:5" x14ac:dyDescent="0.2">
      <c r="B17" s="21" t="s">
        <v>189</v>
      </c>
      <c r="C17" s="22">
        <f>C14*12</f>
        <v>99683.999999999971</v>
      </c>
      <c r="D17" s="4" t="s">
        <v>69</v>
      </c>
    </row>
    <row r="19" spans="2:5" ht="18" customHeight="1" x14ac:dyDescent="0.2">
      <c r="B19" s="49" t="s">
        <v>96</v>
      </c>
      <c r="C19" s="49"/>
      <c r="D19" s="49"/>
      <c r="E19" s="49"/>
    </row>
    <row r="20" spans="2:5" x14ac:dyDescent="0.2">
      <c r="B20" s="21" t="s">
        <v>145</v>
      </c>
      <c r="C20" s="23">
        <f>Premissas!C45</f>
        <v>220000</v>
      </c>
      <c r="D20" s="4" t="s">
        <v>57</v>
      </c>
    </row>
    <row r="21" spans="2:5" x14ac:dyDescent="0.2">
      <c r="B21" s="2" t="s">
        <v>68</v>
      </c>
      <c r="C21" s="20">
        <f>Premissas!C50</f>
        <v>10000</v>
      </c>
      <c r="D21" s="4" t="s">
        <v>69</v>
      </c>
    </row>
    <row r="22" spans="2:5" x14ac:dyDescent="0.2">
      <c r="B22" s="21" t="s">
        <v>95</v>
      </c>
      <c r="C22" s="22">
        <f>C17-C21</f>
        <v>89683.999999999971</v>
      </c>
      <c r="D22" s="4" t="s">
        <v>69</v>
      </c>
    </row>
    <row r="23" spans="2:5" ht="17" x14ac:dyDescent="0.2">
      <c r="B23" s="21" t="s">
        <v>99</v>
      </c>
      <c r="C23" s="24" t="str">
        <f>IFERROR(INT(C20/C22)&amp;" anos e "&amp;ROUND((C20/C22-INT(C20/C22))*12,0)&amp;" meses","Não paga no período")</f>
        <v>2 anos e 5 meses</v>
      </c>
    </row>
    <row r="24" spans="2:5" ht="17" x14ac:dyDescent="0.2">
      <c r="B24" s="21" t="s">
        <v>100</v>
      </c>
      <c r="C24" s="53" t="str">
        <f>IFERROR(INT((MATCH(0,'Fluxo de Caixa'!I$4:I$16,1)-1)+ABS(INDEX('Fluxo de Caixa'!I$4:I$16,MATCH(0,'Fluxo de Caixa'!I$4:I$16,1)))/(INDEX('Fluxo de Caixa'!I$4:I$16,MATCH(0,'Fluxo de Caixa'!I$4:I$16,1)+1)-INDEX('Fluxo de Caixa'!I$4:I$16,MATCH(0,'Fluxo de Caixa'!I$4:I$16,1))))&amp;" anos e "&amp;ROUND(((MATCH(0,'Fluxo de Caixa'!I$4:I$16,1)-1)+ABS(INDEX('Fluxo de Caixa'!I$4:I$16,MATCH(0,'Fluxo de Caixa'!I$4:I$16,1)))/(INDEX('Fluxo de Caixa'!I$4:I$16,MATCH(0,'Fluxo de Caixa'!I$4:I$16,1)+1)-INDEX('Fluxo de Caixa'!I$4:I$16,MATCH(0,'Fluxo de Caixa'!I$4:I$16,1)))-INT((MATCH(0,'Fluxo de Caixa'!I$4:I$16,1)-1)+ABS(INDEX('Fluxo de Caixa'!I$4:I$16,MATCH(0,'Fluxo de Caixa'!I$4:I$16,1)))/(INDEX('Fluxo de Caixa'!I$4:I$16,MATCH(0,'Fluxo de Caixa'!I$4:I$16,1)+1)-INDEX('Fluxo de Caixa'!I$4:I$16,MATCH(0,'Fluxo de Caixa'!I$4:I$16,1)))))*12,0)&amp;" meses","Não paga no período")</f>
        <v>2 anos e 4 meses</v>
      </c>
      <c r="E24" s="6" t="s">
        <v>101</v>
      </c>
    </row>
    <row r="25" spans="2:5" ht="16" x14ac:dyDescent="0.2">
      <c r="B25" s="21" t="s">
        <v>102</v>
      </c>
      <c r="C25" s="26">
        <f>SUM('Fluxo de Caixa'!H5:H16)</f>
        <v>1663192.3764852958</v>
      </c>
      <c r="E25" s="6" t="s">
        <v>103</v>
      </c>
    </row>
  </sheetData>
  <mergeCells count="4">
    <mergeCell ref="B1:E1"/>
    <mergeCell ref="B3:E3"/>
    <mergeCell ref="B11:E11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33"/>
  <sheetViews>
    <sheetView topLeftCell="A10" zoomScale="150" zoomScaleNormal="100" workbookViewId="0">
      <selection activeCell="E18" sqref="E18"/>
    </sheetView>
  </sheetViews>
  <sheetFormatPr baseColWidth="10" defaultColWidth="8.6640625" defaultRowHeight="15" x14ac:dyDescent="0.2"/>
  <cols>
    <col min="1" max="1" width="2" customWidth="1"/>
    <col min="2" max="2" width="26.1640625" bestFit="1" customWidth="1"/>
    <col min="3" max="3" width="15.6640625" bestFit="1" customWidth="1"/>
    <col min="4" max="5" width="16.83203125" bestFit="1" customWidth="1"/>
    <col min="6" max="6" width="15.6640625" bestFit="1" customWidth="1"/>
    <col min="7" max="7" width="22" customWidth="1"/>
  </cols>
  <sheetData>
    <row r="1" spans="2:7" ht="27.75" customHeight="1" x14ac:dyDescent="0.2">
      <c r="B1" s="51" t="s">
        <v>146</v>
      </c>
      <c r="C1" s="51"/>
      <c r="D1" s="51"/>
      <c r="E1" s="51"/>
      <c r="F1" s="51"/>
      <c r="G1" s="51"/>
    </row>
    <row r="3" spans="2:7" x14ac:dyDescent="0.2">
      <c r="B3" s="29"/>
      <c r="C3" s="29" t="s">
        <v>147</v>
      </c>
      <c r="D3" s="29" t="s">
        <v>148</v>
      </c>
      <c r="E3" s="29" t="s">
        <v>149</v>
      </c>
      <c r="F3" s="30" t="s">
        <v>150</v>
      </c>
    </row>
    <row r="4" spans="2:7" ht="18" customHeight="1" x14ac:dyDescent="0.2">
      <c r="B4" s="49" t="s">
        <v>151</v>
      </c>
      <c r="C4" s="49"/>
      <c r="D4" s="49"/>
      <c r="E4" s="49"/>
      <c r="F4" s="49"/>
      <c r="G4" s="49"/>
    </row>
    <row r="5" spans="2:7" x14ac:dyDescent="0.2">
      <c r="B5" s="2" t="s">
        <v>152</v>
      </c>
      <c r="C5" s="31">
        <f>'C1 - BESS Puro'!C5</f>
        <v>248.01587301587301</v>
      </c>
      <c r="D5" s="31">
        <f>'C2 - BESS+Solar BESS'!C5</f>
        <v>248.01587301587301</v>
      </c>
      <c r="E5" s="31">
        <f>'C3 - BESS+Solar FP'!C5</f>
        <v>248.01587301587301</v>
      </c>
      <c r="F5" s="31" t="s">
        <v>153</v>
      </c>
    </row>
    <row r="6" spans="2:7" x14ac:dyDescent="0.2">
      <c r="B6" s="2" t="s">
        <v>154</v>
      </c>
      <c r="C6" s="31">
        <f>'C1 - BESS Puro'!C6</f>
        <v>82.671957671957671</v>
      </c>
      <c r="D6" s="31">
        <f>'C2 - BESS+Solar BESS'!C6</f>
        <v>82.671957671957671</v>
      </c>
      <c r="E6" s="31">
        <f>'C3 - BESS+Solar FP'!C6</f>
        <v>82.671957671957671</v>
      </c>
      <c r="F6" s="31">
        <f>Premissas!C53</f>
        <v>71.428571428571431</v>
      </c>
    </row>
    <row r="7" spans="2:7" x14ac:dyDescent="0.2">
      <c r="B7" s="2" t="s">
        <v>155</v>
      </c>
      <c r="C7" s="31" t="s">
        <v>153</v>
      </c>
      <c r="D7" s="31" t="s">
        <v>153</v>
      </c>
      <c r="E7" s="31" t="s">
        <v>153</v>
      </c>
      <c r="F7" s="31">
        <f>Premissas!C54</f>
        <v>107.14285714285712</v>
      </c>
    </row>
    <row r="8" spans="2:7" x14ac:dyDescent="0.2">
      <c r="B8" s="2" t="s">
        <v>156</v>
      </c>
      <c r="C8" s="31" t="s">
        <v>153</v>
      </c>
      <c r="D8" s="31">
        <f>Premissas!C30</f>
        <v>42</v>
      </c>
      <c r="E8" s="31">
        <f>Premissas!C35</f>
        <v>292</v>
      </c>
      <c r="F8" s="31" t="s">
        <v>153</v>
      </c>
    </row>
    <row r="10" spans="2:7" ht="18" customHeight="1" x14ac:dyDescent="0.2">
      <c r="B10" s="49" t="s">
        <v>157</v>
      </c>
      <c r="C10" s="49"/>
      <c r="D10" s="49"/>
      <c r="E10" s="49"/>
      <c r="F10" s="49"/>
      <c r="G10" s="49"/>
    </row>
    <row r="11" spans="2:7" x14ac:dyDescent="0.2">
      <c r="B11" s="2" t="s">
        <v>158</v>
      </c>
      <c r="C11" s="32">
        <f>'C1 - BESS Puro'!C15</f>
        <v>446428.57142857142</v>
      </c>
      <c r="D11" s="32">
        <f>'C2 - BESS+Solar BESS'!C25</f>
        <v>446428.57142857142</v>
      </c>
      <c r="E11" s="32">
        <f>'C3 - BESS+Solar FP'!C26</f>
        <v>446428.57142857142</v>
      </c>
      <c r="F11" s="32" t="s">
        <v>153</v>
      </c>
    </row>
    <row r="12" spans="2:7" x14ac:dyDescent="0.2">
      <c r="B12" s="2" t="s">
        <v>159</v>
      </c>
      <c r="C12" s="32" t="s">
        <v>153</v>
      </c>
      <c r="D12" s="32">
        <f>'C2 - BESS+Solar BESS'!C26</f>
        <v>84000</v>
      </c>
      <c r="E12" s="32">
        <f>'C3 - BESS+Solar FP'!C27</f>
        <v>584000</v>
      </c>
      <c r="F12" s="32">
        <f>Premissas!C45</f>
        <v>220000</v>
      </c>
    </row>
    <row r="13" spans="2:7" x14ac:dyDescent="0.2">
      <c r="B13" s="21" t="s">
        <v>160</v>
      </c>
      <c r="C13" s="33">
        <f>'C1 - BESS Puro'!C15</f>
        <v>446428.57142857142</v>
      </c>
      <c r="D13" s="33">
        <f>'C2 - BESS+Solar BESS'!C27</f>
        <v>530428.57142857136</v>
      </c>
      <c r="E13" s="33">
        <f>'C3 - BESS+Solar FP'!C28</f>
        <v>1030428.5714285714</v>
      </c>
      <c r="F13" s="33">
        <f>Premissas!C45</f>
        <v>220000</v>
      </c>
    </row>
    <row r="15" spans="2:7" ht="18" customHeight="1" x14ac:dyDescent="0.2">
      <c r="B15" s="49" t="s">
        <v>88</v>
      </c>
      <c r="C15" s="49"/>
      <c r="D15" s="49"/>
      <c r="E15" s="49"/>
      <c r="F15" s="49"/>
      <c r="G15" s="49"/>
    </row>
    <row r="16" spans="2:7" x14ac:dyDescent="0.2">
      <c r="B16" s="2" t="s">
        <v>89</v>
      </c>
      <c r="C16" s="32">
        <f>'C1 - BESS Puro'!C9</f>
        <v>17505</v>
      </c>
      <c r="D16" s="32">
        <f>'C2 - BESS+Solar BESS'!C18</f>
        <v>17505</v>
      </c>
      <c r="E16" s="32">
        <f>'C3 - BESS+Solar FP'!C19</f>
        <v>17505</v>
      </c>
      <c r="F16" s="32">
        <f>'C4 - Gerador Diesel'!C12</f>
        <v>17505</v>
      </c>
    </row>
    <row r="17" spans="2:7" x14ac:dyDescent="0.2">
      <c r="B17" s="2" t="s">
        <v>161</v>
      </c>
      <c r="C17" s="32">
        <f>'C1 - BESS Puro'!C10</f>
        <v>2959.2803030303035</v>
      </c>
      <c r="D17" s="32">
        <f>'C2 - BESS+Solar BESS'!C19</f>
        <v>0</v>
      </c>
      <c r="E17" s="32">
        <f>'C3 - BESS+Solar FP'!C20</f>
        <v>0</v>
      </c>
      <c r="F17" s="32">
        <f>'C4 - Gerador Diesel'!C13</f>
        <v>9198.0000000000018</v>
      </c>
      <c r="G17" s="6" t="s">
        <v>162</v>
      </c>
    </row>
    <row r="18" spans="2:7" x14ac:dyDescent="0.2">
      <c r="B18" s="2" t="s">
        <v>163</v>
      </c>
      <c r="C18" s="32" t="s">
        <v>153</v>
      </c>
      <c r="D18" s="32">
        <f>'C2 - BESS+Solar BESS'!C20</f>
        <v>64.719696969696443</v>
      </c>
      <c r="E18" s="32">
        <f>'C3 - BESS+Solar FP'!C21</f>
        <v>18000</v>
      </c>
      <c r="F18" s="32" t="s">
        <v>153</v>
      </c>
    </row>
    <row r="19" spans="2:7" x14ac:dyDescent="0.2">
      <c r="B19" s="21" t="s">
        <v>164</v>
      </c>
      <c r="C19" s="34">
        <f>'C1 - BESS Puro'!C11</f>
        <v>14545.719696969696</v>
      </c>
      <c r="D19" s="34">
        <f>'C2 - BESS+Solar BESS'!C21</f>
        <v>17569.719696969696</v>
      </c>
      <c r="E19" s="34">
        <f>'C3 - BESS+Solar FP'!C22</f>
        <v>35505</v>
      </c>
      <c r="F19" s="34">
        <f>'C4 - Gerador Diesel'!C14</f>
        <v>8306.9999999999982</v>
      </c>
    </row>
    <row r="20" spans="2:7" x14ac:dyDescent="0.2">
      <c r="B20" s="21" t="s">
        <v>165</v>
      </c>
      <c r="C20" s="34">
        <f>'C1 - BESS Puro'!C12</f>
        <v>174548.63636363635</v>
      </c>
      <c r="D20" s="34">
        <f>'C2 - BESS+Solar BESS'!C22</f>
        <v>210836.63636363635</v>
      </c>
      <c r="E20" s="34">
        <f>'C3 - BESS+Solar FP'!C23</f>
        <v>426060</v>
      </c>
      <c r="F20" s="34">
        <f>'C4 - Gerador Diesel'!C17</f>
        <v>99683.999999999971</v>
      </c>
    </row>
    <row r="22" spans="2:7" ht="18" customHeight="1" x14ac:dyDescent="0.2">
      <c r="B22" s="49" t="s">
        <v>166</v>
      </c>
      <c r="C22" s="49"/>
      <c r="D22" s="49"/>
      <c r="E22" s="49"/>
      <c r="F22" s="49"/>
      <c r="G22" s="49"/>
    </row>
    <row r="23" spans="2:7" x14ac:dyDescent="0.2">
      <c r="B23" s="2" t="s">
        <v>167</v>
      </c>
      <c r="C23" s="32">
        <f>'C1 - BESS Puro'!C16</f>
        <v>2232.1428571428573</v>
      </c>
      <c r="D23" s="32">
        <f>'C2 - BESS+Solar BESS'!C28</f>
        <v>2652.1428571428569</v>
      </c>
      <c r="E23" s="32">
        <f>'C3 - BESS+Solar FP'!C29</f>
        <v>5152.1428571428569</v>
      </c>
      <c r="F23" s="32">
        <f>Premissas!C50</f>
        <v>10000</v>
      </c>
    </row>
    <row r="24" spans="2:7" x14ac:dyDescent="0.2">
      <c r="B24" s="21" t="s">
        <v>95</v>
      </c>
      <c r="C24" s="33">
        <f>'C1 - BESS Puro'!C17</f>
        <v>172316.49350649348</v>
      </c>
      <c r="D24" s="33">
        <f>'C2 - BESS+Solar BESS'!C29</f>
        <v>208184.49350649348</v>
      </c>
      <c r="E24" s="33">
        <f>'C3 - BESS+Solar FP'!C30</f>
        <v>420907.85714285716</v>
      </c>
      <c r="F24" s="33">
        <f>'C4 - Gerador Diesel'!C22</f>
        <v>89683.999999999971</v>
      </c>
    </row>
    <row r="25" spans="2:7" x14ac:dyDescent="0.2">
      <c r="B25" s="21" t="s">
        <v>99</v>
      </c>
      <c r="C25" s="35" t="str">
        <f>'C1 - BESS Puro'!C18</f>
        <v>2 anos e 7 meses</v>
      </c>
      <c r="D25" s="35" t="str">
        <f>'C2 - BESS+Solar BESS'!C30</f>
        <v>2 anos e 7 meses</v>
      </c>
      <c r="E25" s="35" t="str">
        <f>'C3 - BESS+Solar FP'!C31</f>
        <v>2 anos e 5 meses</v>
      </c>
      <c r="F25" s="35" t="str">
        <f>'C4 - Gerador Diesel'!C23</f>
        <v>2 anos e 5 meses</v>
      </c>
    </row>
    <row r="26" spans="2:7" x14ac:dyDescent="0.2">
      <c r="B26" s="21" t="s">
        <v>100</v>
      </c>
      <c r="C26" s="36" t="str">
        <f>'C1 - BESS Puro'!C19</f>
        <v>2 anos e 6 meses</v>
      </c>
      <c r="D26" s="36" t="str">
        <f>'C2 - BESS+Solar BESS'!C31</f>
        <v>2 anos e 5 meses</v>
      </c>
      <c r="E26" s="36" t="str">
        <f>'C3 - BESS+Solar FP'!C32</f>
        <v>2 anos e 4 meses</v>
      </c>
      <c r="F26" s="36" t="str">
        <f>'C4 - Gerador Diesel'!C24</f>
        <v>2 anos e 4 meses</v>
      </c>
    </row>
    <row r="28" spans="2:7" ht="18" customHeight="1" x14ac:dyDescent="0.2">
      <c r="B28" s="52" t="s">
        <v>168</v>
      </c>
      <c r="C28" s="52"/>
      <c r="D28" s="52"/>
      <c r="E28" s="52"/>
      <c r="F28" s="52"/>
      <c r="G28" s="52"/>
    </row>
    <row r="29" spans="2:7" x14ac:dyDescent="0.2">
      <c r="B29" s="21" t="s">
        <v>102</v>
      </c>
      <c r="C29" s="37">
        <f>'C1 - BESS Puro'!C20</f>
        <v>2729116.0329383789</v>
      </c>
      <c r="D29" s="37">
        <f>'C2 - BESS+Solar BESS'!C32</f>
        <v>3297017.5619396451</v>
      </c>
      <c r="E29" s="37">
        <f>'C3 - BESS+Solar FP'!C33</f>
        <v>6665121.7021130854</v>
      </c>
      <c r="F29" s="37">
        <f>'C4 - Gerador Diesel'!C25</f>
        <v>1663192.3764852958</v>
      </c>
      <c r="G29" s="6" t="s">
        <v>169</v>
      </c>
    </row>
    <row r="31" spans="2:7" ht="18" customHeight="1" x14ac:dyDescent="0.2">
      <c r="B31" s="49" t="s">
        <v>170</v>
      </c>
      <c r="C31" s="49"/>
      <c r="D31" s="49"/>
      <c r="E31" s="49"/>
      <c r="F31" s="49"/>
      <c r="G31" s="49"/>
    </row>
    <row r="32" spans="2:7" x14ac:dyDescent="0.2">
      <c r="B32" s="21" t="s">
        <v>171</v>
      </c>
      <c r="C32" s="33">
        <f>'Fluxo de Caixa'!B18</f>
        <v>875432.40231702826</v>
      </c>
      <c r="D32" s="33">
        <f>'Fluxo de Caixa'!D18</f>
        <v>1066515.1764176337</v>
      </c>
      <c r="E32" s="33">
        <f>'Fluxo de Caixa'!F18</f>
        <v>2197969.6350353421</v>
      </c>
      <c r="F32" s="33">
        <f>'Fluxo de Caixa'!H18</f>
        <v>559226.76187866286</v>
      </c>
    </row>
    <row r="33" spans="2:6" x14ac:dyDescent="0.2">
      <c r="B33" s="21" t="s">
        <v>172</v>
      </c>
      <c r="C33" s="38">
        <f>'Fluxo de Caixa'!B19</f>
        <v>0.42540020165288639</v>
      </c>
      <c r="D33" s="38">
        <f>'Fluxo de Caixa'!D19</f>
        <v>0.43227976674185831</v>
      </c>
      <c r="E33" s="38">
        <f>'Fluxo de Caixa'!F19</f>
        <v>0.44915215762504035</v>
      </c>
      <c r="F33" s="38">
        <f>'Fluxo de Caixa'!H19</f>
        <v>0.47510196410605876</v>
      </c>
    </row>
  </sheetData>
  <mergeCells count="7">
    <mergeCell ref="B28:G28"/>
    <mergeCell ref="B31:G31"/>
    <mergeCell ref="B1:G1"/>
    <mergeCell ref="B4:G4"/>
    <mergeCell ref="B10:G10"/>
    <mergeCell ref="B15:G15"/>
    <mergeCell ref="B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zoomScaleNormal="100" workbookViewId="0">
      <selection sqref="A1:I1"/>
    </sheetView>
  </sheetViews>
  <sheetFormatPr baseColWidth="10" defaultColWidth="8.6640625" defaultRowHeight="15" x14ac:dyDescent="0.2"/>
  <cols>
    <col min="1" max="1" width="6" customWidth="1"/>
    <col min="2" max="9" width="17" customWidth="1"/>
  </cols>
  <sheetData>
    <row r="1" spans="1:9" ht="27.75" customHeight="1" x14ac:dyDescent="0.2">
      <c r="A1" s="51" t="s">
        <v>173</v>
      </c>
      <c r="B1" s="51"/>
      <c r="C1" s="51"/>
      <c r="D1" s="51"/>
      <c r="E1" s="51"/>
      <c r="F1" s="51"/>
      <c r="G1" s="51"/>
      <c r="H1" s="51"/>
      <c r="I1" s="51"/>
    </row>
    <row r="3" spans="1:9" ht="19.5" customHeight="1" x14ac:dyDescent="0.2">
      <c r="A3" s="29" t="s">
        <v>174</v>
      </c>
      <c r="B3" s="29" t="s">
        <v>175</v>
      </c>
      <c r="C3" s="29" t="s">
        <v>176</v>
      </c>
      <c r="D3" s="29" t="s">
        <v>177</v>
      </c>
      <c r="E3" s="29" t="s">
        <v>178</v>
      </c>
      <c r="F3" s="29" t="s">
        <v>179</v>
      </c>
      <c r="G3" s="29" t="s">
        <v>180</v>
      </c>
      <c r="H3" s="29" t="s">
        <v>181</v>
      </c>
      <c r="I3" s="29" t="s">
        <v>182</v>
      </c>
    </row>
    <row r="4" spans="1:9" x14ac:dyDescent="0.2">
      <c r="A4" s="39">
        <v>0</v>
      </c>
      <c r="B4" s="40">
        <f>-'C1 - BESS Puro'!C15</f>
        <v>-446428.57142857142</v>
      </c>
      <c r="C4" s="40">
        <f>B4</f>
        <v>-446428.57142857142</v>
      </c>
      <c r="D4" s="40">
        <f>-'C2 - BESS+Solar BESS'!C27</f>
        <v>-530428.57142857136</v>
      </c>
      <c r="E4" s="40">
        <f>D4</f>
        <v>-530428.57142857136</v>
      </c>
      <c r="F4" s="40">
        <f>-'C3 - BESS+Solar FP'!C28</f>
        <v>-1030428.5714285714</v>
      </c>
      <c r="G4" s="40">
        <f>F4</f>
        <v>-1030428.5714285714</v>
      </c>
      <c r="H4" s="40">
        <f>-'C4 - Gerador Diesel'!C20</f>
        <v>-220000</v>
      </c>
      <c r="I4" s="40">
        <f>H4</f>
        <v>-220000</v>
      </c>
    </row>
    <row r="5" spans="1:9" x14ac:dyDescent="0.2">
      <c r="A5" s="41">
        <v>1</v>
      </c>
      <c r="B5" s="42">
        <f>'C1 - BESS Puro'!$C$12*(1-Premissas!$C$21)^(A5-1)*(1+Premissas!$C$42)^(A5-1)-'C1 - BESS Puro'!$C$16</f>
        <v>172316.49350649348</v>
      </c>
      <c r="C5" s="42">
        <f t="shared" ref="C5:C16" si="0">C4+B5</f>
        <v>-274112.07792207797</v>
      </c>
      <c r="D5" s="42">
        <f>'C2 - BESS+Solar BESS'!$C$22*(1-Premissas!$C$21)^(A5-1)*(1+Premissas!$C$42)^(A5-1)-'C2 - BESS+Solar BESS'!$C$28</f>
        <v>208184.49350649348</v>
      </c>
      <c r="E5" s="42">
        <f t="shared" ref="E5:E16" si="1">E4+D5</f>
        <v>-322244.07792207785</v>
      </c>
      <c r="F5" s="42">
        <f>'C3 - BESS+Solar FP'!$C$23*(1-Premissas!$C$21)^(A5-1)*(1+Premissas!$C$42)^(A5-1)-'C3 - BESS+Solar FP'!$C$29</f>
        <v>420907.85714285716</v>
      </c>
      <c r="G5" s="42">
        <f t="shared" ref="G5:G16" si="2">G4+F5</f>
        <v>-609520.7142857142</v>
      </c>
      <c r="H5" s="42">
        <f>'C4 - Gerador Diesel'!$C$15*(1+Premissas!$C$42)^(A5-1)-'C4 - Gerador Diesel'!$C$16*(1+Premissas!$C$51)^(A5-1)-Premissas!$C$50</f>
        <v>89683.999999999971</v>
      </c>
      <c r="I5" s="42">
        <f t="shared" ref="I5:I16" si="3">I4+H5</f>
        <v>-130316.00000000003</v>
      </c>
    </row>
    <row r="6" spans="1:9" x14ac:dyDescent="0.2">
      <c r="A6" s="43">
        <v>2</v>
      </c>
      <c r="B6" s="44">
        <f>'C1 - BESS Puro'!$C$12*(1-Premissas!$C$21)^(A6-1)*(1+Premissas!$C$42)^(A6-1)-'C1 - BESS Puro'!$C$16</f>
        <v>180799.55723376625</v>
      </c>
      <c r="C6" s="44">
        <f t="shared" si="0"/>
        <v>-93312.520688311721</v>
      </c>
      <c r="D6" s="44">
        <f>'C2 - BESS+Solar BESS'!$C$22*(1-Premissas!$C$21)^(A6-1)*(1+Premissas!$C$42)^(A6-1)-'C2 - BESS+Solar BESS'!$C$28</f>
        <v>218431.15403376622</v>
      </c>
      <c r="E6" s="44">
        <f t="shared" si="1"/>
        <v>-103812.92388831163</v>
      </c>
      <c r="F6" s="44">
        <f>'C3 - BESS+Solar FP'!$C$23*(1-Premissas!$C$21)^(A6-1)*(1+Premissas!$C$42)^(A6-1)-'C3 - BESS+Solar FP'!$C$29</f>
        <v>441614.37314285716</v>
      </c>
      <c r="G6" s="44">
        <f t="shared" si="2"/>
        <v>-167906.34114285704</v>
      </c>
      <c r="H6" s="44">
        <f>'C4 - Gerador Diesel'!$C$15*(1+Premissas!$C$42)^(A6-1)-'C4 - Gerador Diesel'!$C$16*(1+Premissas!$C$51)^(A6-1)-Premissas!$C$50</f>
        <v>96661.879999999976</v>
      </c>
      <c r="I6" s="44">
        <f t="shared" si="3"/>
        <v>-33654.120000000054</v>
      </c>
    </row>
    <row r="7" spans="1:9" x14ac:dyDescent="0.2">
      <c r="A7" s="41">
        <v>3</v>
      </c>
      <c r="B7" s="42">
        <f>'C1 - BESS Puro'!$C$12*(1-Premissas!$C$21)^(A7-1)*(1+Premissas!$C$42)^(A7-1)-'C1 - BESS Puro'!$C$16</f>
        <v>189694.89785818438</v>
      </c>
      <c r="C7" s="42">
        <f t="shared" si="0"/>
        <v>96382.377169872663</v>
      </c>
      <c r="D7" s="42">
        <f>'C2 - BESS+Solar BESS'!$C$22*(1-Premissas!$C$21)^(A7-1)*(1+Premissas!$C$42)^(A7-1)-'C2 - BESS+Solar BESS'!$C$28</f>
        <v>229175.80226266439</v>
      </c>
      <c r="E7" s="42">
        <f t="shared" si="1"/>
        <v>125362.87837435276</v>
      </c>
      <c r="F7" s="42">
        <f>'C3 - BESS+Solar FP'!$C$23*(1-Premissas!$C$21)^(A7-1)*(1+Premissas!$C$42)^(A7-1)-'C3 - BESS+Solar FP'!$C$29</f>
        <v>463327.22582045716</v>
      </c>
      <c r="G7" s="42">
        <f t="shared" si="2"/>
        <v>295420.88467760012</v>
      </c>
      <c r="H7" s="42">
        <f>'C4 - Gerador Diesel'!$C$15*(1+Premissas!$C$42)^(A7-1)-'C4 - Gerador Diesel'!$C$16*(1+Premissas!$C$51)^(A7-1)-Premissas!$C$50</f>
        <v>104128.21159999998</v>
      </c>
      <c r="I7" s="42">
        <f t="shared" si="3"/>
        <v>70474.091599999927</v>
      </c>
    </row>
    <row r="8" spans="1:9" x14ac:dyDescent="0.2">
      <c r="A8" s="43">
        <v>4</v>
      </c>
      <c r="B8" s="44">
        <f>'C1 - BESS Puro'!$C$12*(1-Premissas!$C$21)^(A8-1)*(1+Premissas!$C$42)^(A8-1)-'C1 - BESS Puro'!$C$16</f>
        <v>199022.55203694929</v>
      </c>
      <c r="C8" s="44">
        <f t="shared" si="0"/>
        <v>295404.92920682195</v>
      </c>
      <c r="D8" s="44">
        <f>'C2 - BESS+Solar BESS'!$C$22*(1-Premissas!$C$21)^(A8-1)*(1+Premissas!$C$42)^(A8-1)-'C2 - BESS+Solar BESS'!$C$28</f>
        <v>240442.64039548702</v>
      </c>
      <c r="E8" s="44">
        <f t="shared" si="1"/>
        <v>365805.51876983978</v>
      </c>
      <c r="F8" s="44">
        <f>'C3 - BESS+Solar FP'!$C$23*(1-Premissas!$C$21)^(A8-1)*(1+Premissas!$C$42)^(A8-1)-'C3 - BESS+Solar FP'!$C$29</f>
        <v>486095.32313818851</v>
      </c>
      <c r="G8" s="44">
        <f t="shared" si="2"/>
        <v>781516.20781578869</v>
      </c>
      <c r="H8" s="44">
        <f>'C4 - Gerador Diesel'!$C$15*(1+Premissas!$C$42)^(A8-1)-'C4 - Gerador Diesel'!$C$16*(1+Premissas!$C$51)^(A8-1)-Premissas!$C$50</f>
        <v>112117.18641199998</v>
      </c>
      <c r="I8" s="44">
        <f t="shared" si="3"/>
        <v>182591.27801199991</v>
      </c>
    </row>
    <row r="9" spans="1:9" x14ac:dyDescent="0.2">
      <c r="A9" s="41">
        <v>5</v>
      </c>
      <c r="B9" s="42">
        <f>'C1 - BESS Puro'!$C$12*(1-Premissas!$C$21)^(A9-1)*(1+Premissas!$C$42)^(A9-1)-'C1 - BESS Puro'!$C$16</f>
        <v>208803.53020880214</v>
      </c>
      <c r="C9" s="42">
        <f t="shared" si="0"/>
        <v>504208.45941562409</v>
      </c>
      <c r="D9" s="42">
        <f>'C2 - BESS+Solar BESS'!$C$22*(1-Premissas!$C$21)^(A9-1)*(1+Premissas!$C$42)^(A9-1)-'C2 - BESS+Solar BESS'!$C$28</f>
        <v>252257.0468615648</v>
      </c>
      <c r="E9" s="42">
        <f t="shared" si="1"/>
        <v>618062.56563140452</v>
      </c>
      <c r="F9" s="42">
        <f>'C3 - BESS+Solar FP'!$C$23*(1-Premissas!$C$21)^(A9-1)*(1+Premissas!$C$42)^(A9-1)-'C3 - BESS+Solar FP'!$C$29</f>
        <v>509969.94998556154</v>
      </c>
      <c r="G9" s="42">
        <f t="shared" si="2"/>
        <v>1291486.1578013501</v>
      </c>
      <c r="H9" s="42">
        <f>'C4 - Gerador Diesel'!$C$15*(1+Premissas!$C$42)^(A9-1)-'C4 - Gerador Diesel'!$C$16*(1+Premissas!$C$51)^(A9-1)-Premissas!$C$50</f>
        <v>120665.38946083994</v>
      </c>
      <c r="I9" s="42">
        <f t="shared" si="3"/>
        <v>303256.66747283982</v>
      </c>
    </row>
    <row r="10" spans="1:9" x14ac:dyDescent="0.2">
      <c r="A10" s="43">
        <v>6</v>
      </c>
      <c r="B10" s="44">
        <f>'C1 - BESS Puro'!$C$12*(1-Premissas!$C$21)^(A10-1)*(1+Premissas!$C$42)^(A10-1)-'C1 - BESS Puro'!$C$16</f>
        <v>219059.86391980707</v>
      </c>
      <c r="C10" s="44">
        <f t="shared" si="0"/>
        <v>723268.32333543117</v>
      </c>
      <c r="D10" s="44">
        <f>'C2 - BESS+Solar BESS'!$C$22*(1-Premissas!$C$21)^(A10-1)*(1+Premissas!$C$42)^(A10-1)-'C2 - BESS+Solar BESS'!$C$28</f>
        <v>264645.63348189404</v>
      </c>
      <c r="E10" s="44">
        <f t="shared" si="1"/>
        <v>882708.19911329856</v>
      </c>
      <c r="F10" s="44">
        <f>'C3 - BESS+Solar FP'!$C$23*(1-Premissas!$C$21)^(A10-1)*(1+Premissas!$C$42)^(A10-1)-'C3 - BESS+Solar FP'!$C$29</f>
        <v>535004.88369771698</v>
      </c>
      <c r="G10" s="44">
        <f t="shared" si="2"/>
        <v>1826491.0414990671</v>
      </c>
      <c r="H10" s="44">
        <f>'C4 - Gerador Diesel'!$C$15*(1+Premissas!$C$42)^(A10-1)-'C4 - Gerador Diesel'!$C$16*(1+Premissas!$C$51)^(A10-1)-Premissas!$C$50</f>
        <v>129811.96672309877</v>
      </c>
      <c r="I10" s="44">
        <f t="shared" si="3"/>
        <v>433068.63419593859</v>
      </c>
    </row>
    <row r="11" spans="1:9" x14ac:dyDescent="0.2">
      <c r="A11" s="41">
        <v>7</v>
      </c>
      <c r="B11" s="42">
        <f>'C1 - BESS Puro'!$C$12*(1-Premissas!$C$21)^(A11-1)*(1+Premissas!$C$42)^(A11-1)-'C1 - BESS Puro'!$C$16</f>
        <v>229814.65544916681</v>
      </c>
      <c r="C11" s="42">
        <f t="shared" si="0"/>
        <v>953082.97878459794</v>
      </c>
      <c r="D11" s="42">
        <f>'C2 - BESS+Solar BESS'!$C$22*(1-Premissas!$C$21)^(A11-1)*(1+Premissas!$C$42)^(A11-1)-'C2 - BESS+Solar BESS'!$C$28</f>
        <v>277636.30541197123</v>
      </c>
      <c r="E11" s="42">
        <f t="shared" si="1"/>
        <v>1160344.5045252698</v>
      </c>
      <c r="F11" s="42">
        <f>'C3 - BESS+Solar FP'!$C$23*(1-Premissas!$C$21)^(A11-1)*(1+Premissas!$C$42)^(A11-1)-'C3 - BESS+Solar FP'!$C$29</f>
        <v>561256.51518828317</v>
      </c>
      <c r="G11" s="42">
        <f t="shared" si="2"/>
        <v>2387747.5566873504</v>
      </c>
      <c r="H11" s="42">
        <f>'C4 - Gerador Diesel'!$C$15*(1+Premissas!$C$42)^(A11-1)-'C4 - Gerador Diesel'!$C$16*(1+Premissas!$C$51)^(A11-1)-Premissas!$C$50</f>
        <v>139598.80439371566</v>
      </c>
      <c r="I11" s="42">
        <f t="shared" si="3"/>
        <v>572667.43858965428</v>
      </c>
    </row>
    <row r="12" spans="1:9" x14ac:dyDescent="0.2">
      <c r="A12" s="43">
        <v>8</v>
      </c>
      <c r="B12" s="44">
        <f>'C1 - BESS Puro'!$C$12*(1-Premissas!$C$21)^(A12-1)*(1+Premissas!$C$42)^(A12-1)-'C1 - BESS Puro'!$C$16</f>
        <v>241092.1298468535</v>
      </c>
      <c r="C12" s="44">
        <f t="shared" si="0"/>
        <v>1194175.1086314514</v>
      </c>
      <c r="D12" s="44">
        <f>'C2 - BESS+Solar BESS'!$C$22*(1-Premissas!$C$21)^(A12-1)*(1+Premissas!$C$42)^(A12-1)-'C2 - BESS+Solar BESS'!$C$28</f>
        <v>291258.32399785018</v>
      </c>
      <c r="E12" s="44">
        <f t="shared" si="1"/>
        <v>1451602.8285231199</v>
      </c>
      <c r="F12" s="44">
        <f>'C3 - BESS+Solar FP'!$C$23*(1-Premissas!$C$21)^(A12-1)*(1+Premissas!$C$42)^(A12-1)-'C3 - BESS+Solar FP'!$C$29</f>
        <v>588783.97596929094</v>
      </c>
      <c r="G12" s="44">
        <f t="shared" si="2"/>
        <v>2976531.5326566412</v>
      </c>
      <c r="H12" s="44">
        <f>'C4 - Gerador Diesel'!$C$15*(1+Premissas!$C$42)^(A12-1)-'C4 - Gerador Diesel'!$C$16*(1+Premissas!$C$51)^(A12-1)-Premissas!$C$50</f>
        <v>150070.72070127577</v>
      </c>
      <c r="I12" s="44">
        <f t="shared" si="3"/>
        <v>722738.15929093002</v>
      </c>
    </row>
    <row r="13" spans="1:9" x14ac:dyDescent="0.2">
      <c r="A13" s="41">
        <v>9</v>
      </c>
      <c r="B13" s="42">
        <f>'C1 - BESS Puro'!$C$12*(1-Premissas!$C$21)^(A13-1)*(1+Premissas!$C$42)^(A13-1)-'C1 - BESS Puro'!$C$16</f>
        <v>252917.6895002677</v>
      </c>
      <c r="C13" s="42">
        <f t="shared" si="0"/>
        <v>1447092.798131719</v>
      </c>
      <c r="D13" s="42">
        <f>'C2 - BESS+Solar BESS'!$C$22*(1-Premissas!$C$21)^(A13-1)*(1+Premissas!$C$42)^(A13-1)-'C2 - BESS+Solar BESS'!$C$28</f>
        <v>305542.37268700276</v>
      </c>
      <c r="E13" s="42">
        <f t="shared" si="1"/>
        <v>1757145.2012101226</v>
      </c>
      <c r="F13" s="42">
        <f>'C3 - BESS+Solar FP'!$C$23*(1-Premissas!$C$21)^(A13-1)*(1+Premissas!$C$42)^(A13-1)-'C3 - BESS+Solar FP'!$C$29</f>
        <v>617649.27134425554</v>
      </c>
      <c r="G13" s="42">
        <f t="shared" si="2"/>
        <v>3594180.8040008969</v>
      </c>
      <c r="H13" s="42">
        <f>'C4 - Gerador Diesel'!$C$15*(1+Premissas!$C$42)^(A13-1)-'C4 - Gerador Diesel'!$C$16*(1+Premissas!$C$51)^(A13-1)-Premissas!$C$50</f>
        <v>161275.67115036509</v>
      </c>
      <c r="I13" s="42">
        <f t="shared" si="3"/>
        <v>884013.83044129517</v>
      </c>
    </row>
    <row r="14" spans="1:9" x14ac:dyDescent="0.2">
      <c r="A14" s="43">
        <v>10</v>
      </c>
      <c r="B14" s="44">
        <f>'C1 - BESS Puro'!$C$12*(1-Premissas!$C$21)^(A14-1)*(1+Premissas!$C$42)^(A14-1)-'C1 - BESS Puro'!$C$16</f>
        <v>265317.97135283792</v>
      </c>
      <c r="C14" s="44">
        <f t="shared" si="0"/>
        <v>1712410.769484557</v>
      </c>
      <c r="D14" s="44">
        <f>'C2 - BESS+Solar BESS'!$C$22*(1-Premissas!$C$21)^(A14-1)*(1+Premissas!$C$42)^(A14-1)-'C2 - BESS+Solar BESS'!$C$28</f>
        <v>320520.62614244828</v>
      </c>
      <c r="E14" s="44">
        <f t="shared" si="1"/>
        <v>2077665.8273525708</v>
      </c>
      <c r="F14" s="44">
        <f>'C3 - BESS+Solar FP'!$C$23*(1-Premissas!$C$21)^(A14-1)*(1+Premissas!$C$42)^(A14-1)-'C3 - BESS+Solar FP'!$C$29</f>
        <v>647917.42007444357</v>
      </c>
      <c r="G14" s="44">
        <f t="shared" si="2"/>
        <v>4242098.2240753407</v>
      </c>
      <c r="H14" s="44">
        <f>'C4 - Gerador Diesel'!$C$15*(1+Premissas!$C$42)^(A14-1)-'C4 - Gerador Diesel'!$C$16*(1+Premissas!$C$51)^(A14-1)-Premissas!$C$50</f>
        <v>173264.96813089066</v>
      </c>
      <c r="I14" s="44">
        <f t="shared" si="3"/>
        <v>1057278.7985721859</v>
      </c>
    </row>
    <row r="15" spans="1:9" x14ac:dyDescent="0.2">
      <c r="A15" s="41">
        <v>11</v>
      </c>
      <c r="B15" s="42">
        <f>'C1 - BESS Puro'!$C$12*(1-Premissas!$C$21)^(A15-1)*(1+Premissas!$C$42)^(A15-1)-'C1 - BESS Puro'!$C$16</f>
        <v>278320.90690344293</v>
      </c>
      <c r="C15" s="42">
        <f t="shared" si="0"/>
        <v>1990731.6763879999</v>
      </c>
      <c r="D15" s="42">
        <f>'C2 - BESS+Solar BESS'!$C$22*(1-Premissas!$C$21)^(A15-1)*(1+Premissas!$C$42)^(A15-1)-'C2 - BESS+Solar BESS'!$C$28</f>
        <v>336226.82271582837</v>
      </c>
      <c r="E15" s="42">
        <f t="shared" si="1"/>
        <v>2413892.650068399</v>
      </c>
      <c r="F15" s="42">
        <f>'C3 - BESS+Solar FP'!$C$23*(1-Premissas!$C$21)^(A15-1)*(1+Premissas!$C$42)^(A15-1)-'C3 - BESS+Solar FP'!$C$29</f>
        <v>679656.60083291854</v>
      </c>
      <c r="G15" s="42">
        <f t="shared" si="2"/>
        <v>4921754.8249082593</v>
      </c>
      <c r="H15" s="42">
        <f>'C4 - Gerador Diesel'!$C$15*(1+Premissas!$C$42)^(A15-1)-'C4 - Gerador Diesel'!$C$16*(1+Premissas!$C$51)^(A15-1)-Premissas!$C$50</f>
        <v>186093.515900053</v>
      </c>
      <c r="I15" s="42">
        <f t="shared" si="3"/>
        <v>1243372.314472239</v>
      </c>
    </row>
    <row r="16" spans="1:9" x14ac:dyDescent="0.2">
      <c r="A16" s="43">
        <v>12</v>
      </c>
      <c r="B16" s="44">
        <f>'C1 - BESS Puro'!$C$12*(1-Premissas!$C$21)^(A16-1)*(1+Premissas!$C$42)^(A16-1)-'C1 - BESS Puro'!$C$16</f>
        <v>291955.78512180742</v>
      </c>
      <c r="C16" s="44">
        <f t="shared" si="0"/>
        <v>2282687.4615098075</v>
      </c>
      <c r="D16" s="44">
        <f>'C2 - BESS+Solar BESS'!$C$22*(1-Premissas!$C$21)^(A16-1)*(1+Premissas!$C$42)^(A16-1)-'C2 - BESS+Solar BESS'!$C$28</f>
        <v>352696.34044267482</v>
      </c>
      <c r="E16" s="44">
        <f t="shared" si="1"/>
        <v>2766588.9905110737</v>
      </c>
      <c r="F16" s="44">
        <f>'C3 - BESS+Solar FP'!$C$23*(1-Premissas!$C$21)^(A16-1)*(1+Premissas!$C$42)^(A16-1)-'C3 - BESS+Solar FP'!$C$29</f>
        <v>712938.30577625555</v>
      </c>
      <c r="G16" s="44">
        <f t="shared" si="2"/>
        <v>5634693.1306845145</v>
      </c>
      <c r="H16" s="44">
        <f>'C4 - Gerador Diesel'!$C$15*(1+Premissas!$C$42)^(A16-1)-'C4 - Gerador Diesel'!$C$16*(1+Premissas!$C$51)^(A16-1)-Premissas!$C$50</f>
        <v>199820.06201305674</v>
      </c>
      <c r="I16" s="44">
        <f t="shared" si="3"/>
        <v>1443192.3764852958</v>
      </c>
    </row>
    <row r="18" spans="1:9" x14ac:dyDescent="0.2">
      <c r="A18" s="45" t="s">
        <v>183</v>
      </c>
      <c r="B18" s="34">
        <f>NPV(Premissas!$C$41,B5:B16)+B4</f>
        <v>875432.40231702826</v>
      </c>
      <c r="C18" s="46"/>
      <c r="D18" s="34">
        <f>NPV(Premissas!$C$41,D5:D16)+D4</f>
        <v>1066515.1764176337</v>
      </c>
      <c r="E18" s="46"/>
      <c r="F18" s="34">
        <f>NPV(Premissas!$C$41,F5:F16)+F4</f>
        <v>2197969.6350353421</v>
      </c>
      <c r="G18" s="46"/>
      <c r="H18" s="34">
        <f>NPV(Premissas!$C$41,H5:H16)+H4</f>
        <v>559226.76187866286</v>
      </c>
      <c r="I18" s="46"/>
    </row>
    <row r="19" spans="1:9" x14ac:dyDescent="0.2">
      <c r="A19" s="45" t="s">
        <v>184</v>
      </c>
      <c r="B19" s="47">
        <f>IFERROR(IRR(B4:B16),"—")</f>
        <v>0.42540020165288639</v>
      </c>
      <c r="C19" s="46"/>
      <c r="D19" s="47">
        <f>IFERROR(IRR(D4:D16),"—")</f>
        <v>0.43227976674185831</v>
      </c>
      <c r="E19" s="46"/>
      <c r="F19" s="47">
        <f>IFERROR(IRR(F4:F16),"—")</f>
        <v>0.44915215762504035</v>
      </c>
      <c r="G19" s="46"/>
      <c r="H19" s="47">
        <f>IFERROR(IRR(H4:H16),"—")</f>
        <v>0.47510196410605876</v>
      </c>
      <c r="I19" s="46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Premissas</vt:lpstr>
      <vt:lpstr>C1 - BESS Puro</vt:lpstr>
      <vt:lpstr>C2 - BESS+Solar BESS</vt:lpstr>
      <vt:lpstr>C3 - BESS+Solar FP</vt:lpstr>
      <vt:lpstr>C4 - Gerador Diesel</vt:lpstr>
      <vt:lpstr>Comparativo</vt:lpstr>
      <vt:lpstr>Fluxo de Caixa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Zani</cp:lastModifiedBy>
  <cp:revision>1</cp:revision>
  <dcterms:created xsi:type="dcterms:W3CDTF">2026-05-14T13:29:57Z</dcterms:created>
  <dcterms:modified xsi:type="dcterms:W3CDTF">2026-05-14T15:51:13Z</dcterms:modified>
  <dc:language>en-US</dc:language>
</cp:coreProperties>
</file>